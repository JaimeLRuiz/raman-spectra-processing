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7bac70211bc540/Documents/Git/raman-spectra-processing/params/"/>
    </mc:Choice>
  </mc:AlternateContent>
  <xr:revisionPtr revIDLastSave="220" documentId="8_{EDB9DC01-DA0F-4CF6-82DA-79403202B35E}" xr6:coauthVersionLast="47" xr6:coauthVersionMax="47" xr10:uidLastSave="{DCB81A82-1D9D-431E-B248-EAD90E360E0D}"/>
  <bookViews>
    <workbookView xWindow="-108" yWindow="-108" windowWidth="23256" windowHeight="12456" xr2:uid="{175DB362-BC3B-4B7B-B945-DBED43F0BCFF}"/>
  </bookViews>
  <sheets>
    <sheet name="Refel Final Raw Parameters" sheetId="3" r:id="rId1"/>
  </sheets>
  <definedNames>
    <definedName name="ExternalData_1" localSheetId="0" hidden="1">'Refel Final Raw Parameters'!$B$3:$G$11</definedName>
    <definedName name="ExternalData_10" localSheetId="0" hidden="1">'Refel Final Raw Parameters'!$B$49:$G$67</definedName>
    <definedName name="ExternalData_12" localSheetId="0" hidden="1">'Refel Final Raw Parameters'!$B$71:$G$90</definedName>
    <definedName name="ExternalData_13" localSheetId="0" hidden="1">'Refel Final Raw Parameters'!$B$15:$G$30</definedName>
    <definedName name="ExternalData_2" localSheetId="0" hidden="1">'Refel Final Raw Parameters'!$B$34:$G$45</definedName>
    <definedName name="ExternalData_7" localSheetId="0" hidden="1">'Refel Final Raw Parameters'!$B$94:$G$113</definedName>
    <definedName name="ExternalData_8" localSheetId="0" hidden="1">'Refel Final Raw Parameters'!$U$3:$Z$5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3" l="1"/>
  <c r="U24" i="3"/>
  <c r="T22" i="3"/>
  <c r="L24" i="3"/>
  <c r="M24" i="3" s="1"/>
  <c r="T24" i="3"/>
  <c r="U22" i="3"/>
  <c r="M84" i="3"/>
  <c r="M83" i="3"/>
  <c r="L83" i="3"/>
  <c r="P32" i="3"/>
  <c r="Q32" i="3" s="1"/>
  <c r="O30" i="3"/>
  <c r="Q30" i="3" s="1"/>
  <c r="L7" i="3"/>
  <c r="M7" i="3"/>
  <c r="M41" i="3"/>
  <c r="L41" i="3"/>
  <c r="L22" i="3"/>
  <c r="I22" i="3"/>
  <c r="J22" i="3" s="1"/>
  <c r="L10" i="3"/>
  <c r="L81" i="3"/>
  <c r="J97" i="3"/>
  <c r="I97" i="3"/>
  <c r="I72" i="3"/>
  <c r="J72" i="3"/>
  <c r="I50" i="3"/>
  <c r="J50" i="3"/>
  <c r="J39" i="3"/>
  <c r="I39" i="3"/>
  <c r="I7" i="3"/>
  <c r="J7" i="3" s="1"/>
  <c r="Q59" i="3"/>
  <c r="L104" i="3"/>
  <c r="L39" i="3"/>
  <c r="M25" i="3" l="1"/>
  <c r="M54" i="3"/>
  <c r="M22" i="3"/>
  <c r="M81" i="3"/>
  <c r="M104" i="3"/>
  <c r="M3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44C8E4-0B54-4B64-A3B5-74BE8C76A1FF}" keepAlive="1" name="Query - 0 Ne 300 2 5_peak_parameters" description="Connection to the '0 Ne 300 2 5_peak_parameters' query in the workbook." type="5" refreshedVersion="8" background="1" saveData="1">
    <dbPr connection="Provider=Microsoft.Mashup.OleDb.1;Data Source=$Workbook$;Location=&quot;0 Ne 300 2 5_peak_parameters&quot;;Extended Properties=&quot;&quot;" command="SELECT * FROM [0 Ne 300 2 5_peak_parameters]"/>
  </connection>
  <connection id="2" xr16:uid="{B0A3EB4F-5EB7-403B-95DC-8A67953187A2}" keepAlive="1" name="Query - 0 Ne 300 2 5_peak_parameters (2)" description="Connection to the '0 Ne 300 2 5_peak_parameters (2)' query in the workbook." type="5" refreshedVersion="0" background="1" saveData="1">
    <dbPr connection="Provider=Microsoft.Mashup.OleDb.1;Data Source=$Workbook$;Location=&quot;0 Ne 300 2 5_peak_parameters (2)&quot;;Extended Properties=&quot;&quot;" command="SELECT * FROM [0 Ne 300 2 5_peak_parameters (2)]"/>
  </connection>
  <connection id="3" xr16:uid="{6016D195-5105-4056-B53B-2C2223B1A805}" keepAlive="1" name="Query - 0 Ne 300 2 5_peak_parameters (3)" description="Connection to the '0 Ne 300 2 5_peak_parameters (3)' query in the workbook." type="5" refreshedVersion="8" background="1" saveData="1">
    <dbPr connection="Provider=Microsoft.Mashup.OleDb.1;Data Source=$Workbook$;Location=&quot;0 Ne 300 2 5_peak_parameters (3)&quot;;Extended Properties=&quot;&quot;" command="SELECT * FROM [0 Ne 300 2 5_peak_parameters (3)]"/>
  </connection>
  <connection id="4" xr16:uid="{6A1F67C7-7665-42AB-8C38-9679AF6BD367}" keepAlive="1" name="Query - 0 Ne 300 2 5_peak_parameters (4)" description="Connection to the '0 Ne 300 2 5_peak_parameters (4)' query in the workbook." type="5" refreshedVersion="0" background="1" saveData="1">
    <dbPr connection="Provider=Microsoft.Mashup.OleDb.1;Data Source=$Workbook$;Location=&quot;0 Ne 300 2 5_peak_parameters (4)&quot;;Extended Properties=&quot;&quot;" command="SELECT * FROM [0 Ne 300 2 5_peak_parameters (4)]"/>
  </connection>
  <connection id="5" xr16:uid="{CACE8B06-7BCB-403C-9AD3-F483C255C179}" keepAlive="1" name="Query - 0 Ne 300 2 5_peak_parameters (5)" description="Connection to the '0 Ne 300 2 5_peak_parameters (5)' query in the workbook." type="5" refreshedVersion="8" background="1" saveData="1">
    <dbPr connection="Provider=Microsoft.Mashup.OleDb.1;Data Source=$Workbook$;Location=&quot;0 Ne 300 2 5_peak_parameters (5)&quot;;Extended Properties=&quot;&quot;" command="SELECT * FROM [0 Ne 300 2 5_peak_parameters (5)]"/>
  </connection>
  <connection id="6" xr16:uid="{94F5E7BD-1959-4492-B2A6-FB68DEE5BDB4}" keepAlive="1" name="Query - 0 Ne 300 2 5_peak_parameters (6)" description="Connection to the '0 Ne 300 2 5_peak_parameters (6)' query in the workbook." type="5" refreshedVersion="0" background="1" saveData="1">
    <dbPr connection="Provider=Microsoft.Mashup.OleDb.1;Data Source=$Workbook$;Location=&quot;0 Ne 300 2 5_peak_parameters (6)&quot;;Extended Properties=&quot;&quot;" command="SELECT * FROM [0 Ne 300 2 5_peak_parameters (6)]"/>
  </connection>
  <connection id="7" xr16:uid="{2E57BCA6-6C49-4C3A-907E-A268E427969C}" keepAlive="1" name="Query - 1 Si 300 2 5_peak_parameters" description="Connection to the '1 Si 300 2 5_peak_parameters' query in the workbook." type="5" refreshedVersion="8" background="1" saveData="1">
    <dbPr connection="Provider=Microsoft.Mashup.OleDb.1;Data Source=$Workbook$;Location=&quot;1 Si 300 2 5_peak_parameters&quot;;Extended Properties=&quot;&quot;" command="SELECT * FROM [1 Si 300 2 5_peak_parameters]"/>
  </connection>
  <connection id="8" xr16:uid="{5C8DE792-8A2E-4E42-8406-9DB2AD77C5A8}" keepAlive="1" name="Query - 2 Si 300 0 25_peak_parameters" description="Connection to the '2 Si 300 0 25_peak_parameters' query in the workbook." type="5" refreshedVersion="8" background="1" saveData="1">
    <dbPr connection="Provider=Microsoft.Mashup.OleDb.1;Data Source=$Workbook$;Location=&quot;2 Si 300 0 25_peak_parameters&quot;;Extended Properties=&quot;&quot;" command="SELECT * FROM [2 Si 300 0 25_peak_parameters]"/>
  </connection>
  <connection id="9" xr16:uid="{A634E026-A416-4707-91A7-F9B7DC978842}" keepAlive="1" name="Query - 2 Si 300 0 25_peak_parameters (2)" description="Connection to the '2 Si 300 0 25_peak_parameters (2)' query in the workbook." type="5" refreshedVersion="0" background="1" saveData="1">
    <dbPr connection="Provider=Microsoft.Mashup.OleDb.1;Data Source=$Workbook$;Location=&quot;2 Si 300 0 25_peak_parameters (2)&quot;;Extended Properties=&quot;&quot;" command="SELECT * FROM [2 Si 300 0 25_peak_parameters (2)]"/>
  </connection>
  <connection id="10" xr16:uid="{C9085F52-CAE9-4F4B-B8B1-D894C346EE20}" keepAlive="1" name="Query - 2 Si 300 0 25_peak_parameters (3)" description="Connection to the '2 Si 300 0 25_peak_parameters (3)' query in the workbook." type="5" refreshedVersion="8" background="1" saveData="1">
    <dbPr connection="Provider=Microsoft.Mashup.OleDb.1;Data Source=$Workbook$;Location=&quot;2 Si 300 0 25_peak_parameters (3)&quot;;Extended Properties=&quot;&quot;" command="SELECT * FROM [2 Si 300 0 25_peak_parameters (3)]"/>
  </connection>
  <connection id="11" xr16:uid="{49265F06-8F9A-439C-9E46-187F9AEADDFA}" keepAlive="1" name="Query - 3 Si 750 0 25_peak_parameters" description="Connection to the '3 Si 750 0 25_peak_parameters' query in the workbook." type="5" refreshedVersion="0" background="1" saveData="1">
    <dbPr connection="Provider=Microsoft.Mashup.OleDb.1;Data Source=$Workbook$;Location=&quot;3 Si 750 0 25_peak_parameters&quot;;Extended Properties=&quot;&quot;" command="SELECT * FROM [3 Si 750 0 25_peak_parameters]"/>
  </connection>
  <connection id="12" xr16:uid="{1B2D3309-BEDC-458E-B174-53DA75F15D52}" keepAlive="1" name="Query - 3 Si 750 0 25_peak_parameters (2)" description="Connection to the '3 Si 750 0 25_peak_parameters (2)' query in the workbook." type="5" refreshedVersion="8" background="1" saveData="1">
    <dbPr connection="Provider=Microsoft.Mashup.OleDb.1;Data Source=$Workbook$;Location=&quot;3 Si 750 0 25_peak_parameters (2)&quot;;Extended Properties=&quot;&quot;" command="SELECT * FROM [3 Si 750 0 25_peak_parameters (2)]"/>
  </connection>
  <connection id="13" xr16:uid="{1F7D6F65-E94A-467C-BFE3-9D0D851E038F}" keepAlive="1" name="Query - 3 Si 750 0 25_peak_parameters (3)" description="Connection to the '3 Si 750 0 25_peak_parameters (3)' query in the workbook." type="5" refreshedVersion="0" background="1" saveData="1">
    <dbPr connection="Provider=Microsoft.Mashup.OleDb.1;Data Source=$Workbook$;Location=&quot;3 Si 750 0 25_peak_parameters (3)&quot;;Extended Properties=&quot;&quot;" command="SELECT * FROM [3 Si 750 0 25_peak_parameters (3)]"/>
  </connection>
  <connection id="14" xr16:uid="{18DB2556-BC85-4793-8376-A70EB1FB0BBB}" keepAlive="1" name="Query - 3 Si 750 0 25_peak_parameters (4)" description="Connection to the '3 Si 750 0 25_peak_parameters (4)' query in the workbook." type="5" refreshedVersion="8" background="1" saveData="1">
    <dbPr connection="Provider=Microsoft.Mashup.OleDb.1;Data Source=$Workbook$;Location=&quot;3 Si 750 0 25_peak_parameters (4)&quot;;Extended Properties=&quot;&quot;" command="SELECT * FROM [3 Si 750 0 25_peak_parameters (4)]"/>
  </connection>
  <connection id="15" xr16:uid="{FA2F2BC6-A00D-4B4F-A388-7256574B4408}" keepAlive="1" name="Query - 3 Si 750 0 25_peak_parameters (5)" description="Connection to the '3 Si 750 0 25_peak_parameters (5)' query in the workbook." type="5" refreshedVersion="0" background="1" saveData="1">
    <dbPr connection="Provider=Microsoft.Mashup.OleDb.1;Data Source=$Workbook$;Location=&quot;3 Si 750 0 25_peak_parameters (5)&quot;;Extended Properties=&quot;&quot;" command="SELECT * FROM [3 Si 750 0 25_peak_parameters (5)]"/>
  </connection>
  <connection id="16" xr16:uid="{4AB803D4-E7DD-4A79-A3D3-5D8404007EA3}" keepAlive="1" name="Query - 3 Si 750 0 25_peak_parameters (6)" description="Connection to the '3 Si 750 0 25_peak_parameters (6)' query in the workbook." type="5" refreshedVersion="8" background="1" saveData="1">
    <dbPr connection="Provider=Microsoft.Mashup.OleDb.1;Data Source=$Workbook$;Location=&quot;3 Si 750 0 25_peak_parameters (6)&quot;;Extended Properties=&quot;&quot;" command="SELECT * FROM [3 Si 750 0 25_peak_parameters (6)]"/>
  </connection>
  <connection id="17" xr16:uid="{6D67BD23-792B-4531-A23A-FF34CAB8C86D}" keepAlive="1" name="Query - 4 Si 750 2 5_peak_parameters" description="Connection to the '4 Si 750 2 5_peak_parameters' query in the workbook." type="5" refreshedVersion="8" background="1" saveData="1">
    <dbPr connection="Provider=Microsoft.Mashup.OleDb.1;Data Source=$Workbook$;Location=&quot;4 Si 750 2 5_peak_parameters&quot;;Extended Properties=&quot;&quot;" command="SELECT * FROM [4 Si 750 2 5_peak_parameters]"/>
  </connection>
  <connection id="18" xr16:uid="{E81589BF-A9E4-437B-BB22-74C5C7EF99DF}" keepAlive="1" name="Query - 4 Si 750 2 5_peak_parameters (2)" description="Connection to the '4 Si 750 2 5_peak_parameters (2)' query in the workbook." type="5" refreshedVersion="8" background="1" saveData="1">
    <dbPr connection="Provider=Microsoft.Mashup.OleDb.1;Data Source=$Workbook$;Location=&quot;4 Si 750 2 5_peak_parameters (2)&quot;;Extended Properties=&quot;&quot;" command="SELECT * FROM [4 Si 750 2 5_peak_parameters (2)]"/>
  </connection>
  <connection id="19" xr16:uid="{4A01C721-794E-44D4-8886-02799AFD57EA}" keepAlive="1" name="Query - Dark Grey_peak_parameters" description="Connection to the 'Dark Grey_peak_parameters' query in the workbook." type="5" refreshedVersion="0" background="1" saveData="1">
    <dbPr connection="Provider=Microsoft.Mashup.OleDb.1;Data Source=$Workbook$;Location=&quot;Dark Grey_peak_parameters&quot;;Extended Properties=&quot;&quot;" command="SELECT * FROM [Dark Grey_peak_parameters]"/>
  </connection>
  <connection id="20" xr16:uid="{667D1B55-4860-4644-B51A-1312D9C13810}" keepAlive="1" name="Query - Dark Grey_peak_parameters (2)" description="Connection to the 'Dark Grey_peak_parameters (2)' query in the workbook." type="5" refreshedVersion="8" background="1" saveData="1">
    <dbPr connection="Provider=Microsoft.Mashup.OleDb.1;Data Source=$Workbook$;Location=&quot;Dark Grey_peak_parameters (2)&quot;;Extended Properties=&quot;&quot;" command="SELECT * FROM [Dark Grey_peak_parameters (2)]"/>
  </connection>
  <connection id="21" xr16:uid="{7A70584C-B02F-47EC-B984-F19D10EE5B0D}" keepAlive="1" name="Query - Location 1 graphite_peak_parameters" description="Connection to the 'Location 1 graphite_peak_parameters' query in the workbook." type="5" refreshedVersion="8" background="1" saveData="1">
    <dbPr connection="Provider=Microsoft.Mashup.OleDb.1;Data Source=$Workbook$;Location=&quot;Location 1 graphite_peak_parameters&quot;;Extended Properties=&quot;&quot;" command="SELECT * FROM [Location 1 graphite_peak_parameters]"/>
  </connection>
  <connection id="22" xr16:uid="{F26140FB-3FBF-449E-93A5-E1B18CCA272B}" keepAlive="1" name="Query - Location 1 graphite_peak_parameters (2)" description="Connection to the 'Location 1 graphite_peak_parameters (2)' query in the workbook." type="5" refreshedVersion="8" background="1" saveData="1">
    <dbPr connection="Provider=Microsoft.Mashup.OleDb.1;Data Source=$Workbook$;Location=&quot;Location 1 graphite_peak_parameters (2)&quot;;Extended Properties=&quot;&quot;" command="SELECT * FROM [Location 1 graphite_peak_parameters (2)]"/>
  </connection>
  <connection id="23" xr16:uid="{FA1B873A-468E-475C-95E2-FBEC1029E9EE}" keepAlive="1" name="Query - Unirradiated_peak_parameters" description="Connection to the 'Unirradiated_peak_parameters' query in the workbook." type="5" refreshedVersion="8" background="1" saveData="1">
    <dbPr connection="Provider=Microsoft.Mashup.OleDb.1;Data Source=$Workbook$;Location=Unirradiated_peak_parameters;Extended Properties=&quot;&quot;" command="SELECT * FROM [Unirradiated_peak_parameters]"/>
  </connection>
</connections>
</file>

<file path=xl/sharedStrings.xml><?xml version="1.0" encoding="utf-8"?>
<sst xmlns="http://schemas.openxmlformats.org/spreadsheetml/2006/main" count="160" uniqueCount="33">
  <si>
    <t>Peak</t>
  </si>
  <si>
    <t>Model</t>
  </si>
  <si>
    <t>Center (cm⁻¹)</t>
  </si>
  <si>
    <t>FWHM (cm⁻¹)</t>
  </si>
  <si>
    <t>Area</t>
  </si>
  <si>
    <t>Relative Intensity</t>
  </si>
  <si>
    <t>gauss</t>
  </si>
  <si>
    <t>lorentz</t>
  </si>
  <si>
    <t>Unirradiated</t>
  </si>
  <si>
    <t>Si 300 2.5</t>
  </si>
  <si>
    <t>voigt</t>
  </si>
  <si>
    <t>bwf</t>
  </si>
  <si>
    <t>TO AREA</t>
  </si>
  <si>
    <t>Si 300 0.25</t>
  </si>
  <si>
    <t>% Of Unirr</t>
  </si>
  <si>
    <t>Ne 300 2.5</t>
  </si>
  <si>
    <t>Si 750 0.25</t>
  </si>
  <si>
    <t>Si 750 2.5</t>
  </si>
  <si>
    <t>Erix Carbon</t>
  </si>
  <si>
    <t>D</t>
  </si>
  <si>
    <t>G</t>
  </si>
  <si>
    <t>D Area</t>
  </si>
  <si>
    <t>G Area</t>
  </si>
  <si>
    <t>% Pristine</t>
  </si>
  <si>
    <t>Total Area</t>
  </si>
  <si>
    <t>%</t>
  </si>
  <si>
    <t>FWHM</t>
  </si>
  <si>
    <t>Total SiC</t>
  </si>
  <si>
    <t>to pristine</t>
  </si>
  <si>
    <t>to itself</t>
  </si>
  <si>
    <t>Si</t>
  </si>
  <si>
    <t>% Of Total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</si>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</sst>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0" fontId="0" fillId="0" borderId="0" xfId="0" applyNumberFormat="1"/>
    <xf numFmtId="0" fontId="1" fillId="0" borderId="2" xfId="0" applyFont="1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1" fillId="0" borderId="11" xfId="0" applyFont="1" applyBorder="1"/>
    <xf numFmtId="0" fontId="0" fillId="0" borderId="12" xfId="0" applyBorder="1"/>
    <xf numFmtId="0" fontId="1" fillId="0" borderId="13" xfId="0" applyFont="1" applyBorder="1"/>
    <xf numFmtId="0" fontId="0" fillId="0" borderId="14" xfId="0" applyBorder="1"/>
    <xf numFmtId="0" fontId="0" fillId="0" borderId="15" xfId="0" applyBorder="1"/>
    <xf numFmtId="0" fontId="0" fillId="0" borderId="5" xfId="0" applyBorder="1"/>
    <xf numFmtId="0" fontId="2" fillId="0" borderId="4" xfId="0" applyFont="1" applyBorder="1"/>
    <xf numFmtId="10" fontId="2" fillId="0" borderId="5" xfId="0" applyNumberFormat="1" applyFont="1" applyBorder="1"/>
    <xf numFmtId="0" fontId="1" fillId="0" borderId="4" xfId="0" applyFont="1" applyBorder="1"/>
    <xf numFmtId="10" fontId="1" fillId="0" borderId="5" xfId="0" applyNumberFormat="1" applyFont="1" applyBorder="1"/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D5664B01-85FB-45C3-ACAB-1BA17732534C}" autoFormatId="16" applyNumberFormats="0" applyBorderFormats="0" applyFontFormats="0" applyPatternFormats="0" applyAlignmentFormats="0" applyWidthHeightFormats="0">
  <queryTableRefresh nextId="7">
    <queryTableFields count="6">
      <queryTableField id="1" name="Peak" tableColumnId="1"/>
      <queryTableField id="2" name="Model" tableColumnId="2"/>
      <queryTableField id="3" name="Center (cm⁻¹)" tableColumnId="3"/>
      <queryTableField id="4" name="FWHM (cm⁻¹)" tableColumnId="4"/>
      <queryTableField id="5" name="Area" tableColumnId="5"/>
      <queryTableField id="6" name="Relative Intensity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7054E68D-9EF1-43BD-8B60-74720F92FD93}" autoFormatId="16" applyNumberFormats="0" applyBorderFormats="0" applyFontFormats="0" applyPatternFormats="0" applyAlignmentFormats="0" applyWidthHeightFormats="0">
  <queryTableRefresh nextId="7">
    <queryTableFields count="6">
      <queryTableField id="1" name="Peak" tableColumnId="1"/>
      <queryTableField id="2" name="Model" tableColumnId="2"/>
      <queryTableField id="3" name="Center (cm⁻¹)" tableColumnId="3"/>
      <queryTableField id="4" name="FWHM (cm⁻¹)" tableColumnId="4"/>
      <queryTableField id="5" name="Area" tableColumnId="5"/>
      <queryTableField id="6" name="Relative Intensity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8" xr16:uid="{D44777F2-04F8-4031-BE48-784DBFA52581}" autoFormatId="16" applyNumberFormats="0" applyBorderFormats="0" applyFontFormats="0" applyPatternFormats="0" applyAlignmentFormats="0" applyWidthHeightFormats="0">
  <queryTableRefresh nextId="7">
    <queryTableFields count="6">
      <queryTableField id="1" name="Peak" tableColumnId="1"/>
      <queryTableField id="2" name="Model" tableColumnId="2"/>
      <queryTableField id="3" name="Center (cm⁻¹)" tableColumnId="3"/>
      <queryTableField id="4" name="FWHM (cm⁻¹)" tableColumnId="4"/>
      <queryTableField id="5" name="Area" tableColumnId="5"/>
      <queryTableField id="6" name="Relative Intensity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2" xr16:uid="{DE2EE7C8-950E-48F6-82C0-4A291B65D77D}" autoFormatId="16" applyNumberFormats="0" applyBorderFormats="0" applyFontFormats="0" applyPatternFormats="0" applyAlignmentFormats="0" applyWidthHeightFormats="0">
  <queryTableRefresh nextId="7">
    <queryTableFields count="6">
      <queryTableField id="1" name="Peak" tableColumnId="1"/>
      <queryTableField id="2" name="Model" tableColumnId="2"/>
      <queryTableField id="3" name="Center (cm⁻¹)" tableColumnId="3"/>
      <queryTableField id="4" name="FWHM (cm⁻¹)" tableColumnId="4"/>
      <queryTableField id="5" name="Area" tableColumnId="5"/>
      <queryTableField id="6" name="Relative Intensity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00AF709C-1F6C-4D9C-A3BA-5A4A817E6EEE}" autoFormatId="16" applyNumberFormats="0" applyBorderFormats="0" applyFontFormats="0" applyPatternFormats="0" applyAlignmentFormats="0" applyWidthHeightFormats="0">
  <queryTableRefresh nextId="7">
    <queryTableFields count="6">
      <queryTableField id="1" name="Peak" tableColumnId="1"/>
      <queryTableField id="2" name="Model" tableColumnId="2"/>
      <queryTableField id="3" name="Center (cm⁻¹)" tableColumnId="3"/>
      <queryTableField id="4" name="FWHM (cm⁻¹)" tableColumnId="4"/>
      <queryTableField id="5" name="Area" tableColumnId="5"/>
      <queryTableField id="6" name="Relative Intensity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6" xr16:uid="{5277BE13-3AA8-4022-81DD-B3F98CCC7A24}" autoFormatId="16" applyNumberFormats="0" applyBorderFormats="0" applyFontFormats="0" applyPatternFormats="0" applyAlignmentFormats="0" applyWidthHeightFormats="0">
  <queryTableRefresh nextId="7">
    <queryTableFields count="6">
      <queryTableField id="1" name="Peak" tableColumnId="1"/>
      <queryTableField id="2" name="Model" tableColumnId="2"/>
      <queryTableField id="3" name="Center (cm⁻¹)" tableColumnId="3"/>
      <queryTableField id="4" name="FWHM (cm⁻¹)" tableColumnId="4"/>
      <queryTableField id="5" name="Area" tableColumnId="5"/>
      <queryTableField id="6" name="Relative Intensity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5" xr16:uid="{D77DFFA7-2CB2-4132-81ED-8E205695B02E}" autoFormatId="16" applyNumberFormats="0" applyBorderFormats="0" applyFontFormats="0" applyPatternFormats="0" applyAlignmentFormats="0" applyWidthHeightFormats="0">
  <queryTableRefresh nextId="7">
    <queryTableFields count="6">
      <queryTableField id="1" name="Peak" tableColumnId="1"/>
      <queryTableField id="2" name="Model" tableColumnId="2"/>
      <queryTableField id="3" name="Center (cm⁻¹)" tableColumnId="3"/>
      <queryTableField id="4" name="FWHM (cm⁻¹)" tableColumnId="4"/>
      <queryTableField id="5" name="Area" tableColumnId="5"/>
      <queryTableField id="6" name="Relative Intensit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5FD67B-05ED-4419-9783-0628581B2B9E}" name="Unirradiated_peak_parameters" displayName="Unirradiated_peak_parameters" ref="B3:G11" tableType="queryTable" totalsRowShown="0">
  <autoFilter ref="B3:G11" xr:uid="{CF5FD67B-05ED-4419-9783-0628581B2B9E}"/>
  <tableColumns count="6">
    <tableColumn id="1" xr3:uid="{4F4772AE-6AFF-4153-BCCA-36776E460A0F}" uniqueName="1" name="Peak" queryTableFieldId="1"/>
    <tableColumn id="2" xr3:uid="{3F08E881-E6B2-44E1-80C6-80691FAC9024}" uniqueName="2" name="Model" queryTableFieldId="2" dataDxfId="7"/>
    <tableColumn id="3" xr3:uid="{B0B70467-BB15-4D42-8764-D3F95F59372A}" uniqueName="3" name="Center (cm⁻¹)" queryTableFieldId="3"/>
    <tableColumn id="4" xr3:uid="{42DCFD02-02B9-4C92-8384-7E84701CCFFA}" uniqueName="4" name="FWHM (cm⁻¹)" queryTableFieldId="4"/>
    <tableColumn id="5" xr3:uid="{BED1AEDF-1797-4788-B62B-114ACE17ADBD}" uniqueName="5" name="Area" queryTableFieldId="5"/>
    <tableColumn id="6" xr3:uid="{13EB7774-A896-45A9-A510-F864B4DD68D8}" uniqueName="6" name="Relative Intensity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918139-D120-4B75-9000-F253B2966E67}" name="_1_Si_300_2_5_peak_parameters" displayName="_1_Si_300_2_5_peak_parameters" ref="B34:G45" tableType="queryTable" totalsRowShown="0">
  <autoFilter ref="B34:G45" xr:uid="{80918139-D120-4B75-9000-F253B2966E67}"/>
  <tableColumns count="6">
    <tableColumn id="1" xr3:uid="{DCB84DEE-8CB8-47E6-9CAA-2E7003BFCF42}" uniqueName="1" name="Peak" queryTableFieldId="1"/>
    <tableColumn id="2" xr3:uid="{45678E01-F33A-43CD-B57A-FC97C3936EA1}" uniqueName="2" name="Model" queryTableFieldId="2" dataDxfId="6"/>
    <tableColumn id="3" xr3:uid="{BFE3BFEC-F2DF-4567-BBB6-743A060533A9}" uniqueName="3" name="Center (cm⁻¹)" queryTableFieldId="3"/>
    <tableColumn id="4" xr3:uid="{6F4619D0-863C-4CB0-B63A-DC6E57194397}" uniqueName="4" name="FWHM (cm⁻¹)" queryTableFieldId="4"/>
    <tableColumn id="5" xr3:uid="{639110AB-E556-4DB0-A200-70D73C8BAB41}" uniqueName="5" name="Area" queryTableFieldId="5"/>
    <tableColumn id="6" xr3:uid="{B617F56E-09B7-4D6C-8A5D-484CB6B5D32B}" uniqueName="6" name="Relative Intensity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BD508AE-9329-47B6-9534-52D61BAAA298}" name="_4_Si_750_2_5_peak_parameters12" displayName="_4_Si_750_2_5_peak_parameters12" ref="B94:G113" tableType="queryTable" totalsRowShown="0">
  <autoFilter ref="B94:G113" xr:uid="{4BD508AE-9329-47B6-9534-52D61BAAA298}"/>
  <tableColumns count="6">
    <tableColumn id="1" xr3:uid="{C2604F61-8AFC-4ADF-B04F-A48F21E95D8B}" uniqueName="1" name="Peak" queryTableFieldId="1"/>
    <tableColumn id="2" xr3:uid="{9064BA17-3323-42BB-960C-7D4658B9E5E9}" uniqueName="2" name="Model" queryTableFieldId="2" dataDxfId="5"/>
    <tableColumn id="3" xr3:uid="{F3C44188-4507-43B9-A0DC-EB8C86C0A795}" uniqueName="3" name="Center (cm⁻¹)" queryTableFieldId="3"/>
    <tableColumn id="4" xr3:uid="{F876265E-0474-4F3C-BF75-470B88126FE5}" uniqueName="4" name="FWHM (cm⁻¹)" queryTableFieldId="4"/>
    <tableColumn id="5" xr3:uid="{F440D68D-9C83-4F49-9C21-383162060BAE}" uniqueName="5" name="Area" queryTableFieldId="5"/>
    <tableColumn id="6" xr3:uid="{5740D5E6-7106-499A-B1FB-9240AFFDEECB}" uniqueName="6" name="Relative Intensity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8629AE6-1F5A-443C-A836-595CCA062C0C}" name="Location_1_graphite_peak_parameters14" displayName="Location_1_graphite_peak_parameters14" ref="U3:Z5" tableType="queryTable" totalsRowShown="0">
  <autoFilter ref="U3:Z5" xr:uid="{88629AE6-1F5A-443C-A836-595CCA062C0C}"/>
  <tableColumns count="6">
    <tableColumn id="1" xr3:uid="{27F22DE0-B640-4AB6-872E-45C013ECFC2F}" uniqueName="1" name="Peak" queryTableFieldId="1" dataDxfId="4"/>
    <tableColumn id="2" xr3:uid="{5D08E4F5-F578-4AC3-8363-12E0E74D580F}" uniqueName="2" name="Model" queryTableFieldId="2" dataDxfId="3"/>
    <tableColumn id="3" xr3:uid="{9DF1D443-19CA-4526-BE48-04519F009B60}" uniqueName="3" name="Center (cm⁻¹)" queryTableFieldId="3"/>
    <tableColumn id="4" xr3:uid="{EF63B764-2119-4267-81DD-692B0CD02703}" uniqueName="4" name="FWHM (cm⁻¹)" queryTableFieldId="4"/>
    <tableColumn id="5" xr3:uid="{16212206-06DE-4114-A459-5595F8CBE80C}" uniqueName="5" name="Area" queryTableFieldId="5"/>
    <tableColumn id="6" xr3:uid="{203AE1BB-AD83-48C1-935E-A9D796E1D51A}" uniqueName="6" name="Relative Intensity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5938BD7-3BEC-4744-B44D-57F1C5BF2930}" name="_2_Si_300_0_25_peak_parameters__29" displayName="_2_Si_300_0_25_peak_parameters__29" ref="B49:G67" tableType="queryTable" totalsRowShown="0">
  <autoFilter ref="B49:G67" xr:uid="{25938BD7-3BEC-4744-B44D-57F1C5BF2930}"/>
  <tableColumns count="6">
    <tableColumn id="1" xr3:uid="{8E0C8E8D-A4D8-4F3F-A0D5-B3359A9FE231}" uniqueName="1" name="Peak" queryTableFieldId="1"/>
    <tableColumn id="2" xr3:uid="{66EB0A78-9DD6-4490-93F6-D1373B4DDC18}" uniqueName="2" name="Model" queryTableFieldId="2" dataDxfId="2"/>
    <tableColumn id="3" xr3:uid="{95AC4A0F-4B08-4387-A2BD-E3382E431825}" uniqueName="3" name="Center (cm⁻¹)" queryTableFieldId="3"/>
    <tableColumn id="4" xr3:uid="{BFEC92B1-6F43-4CB9-BE24-C4A025D3E542}" uniqueName="4" name="FWHM (cm⁻¹)" queryTableFieldId="4"/>
    <tableColumn id="5" xr3:uid="{C88BD2A1-C628-4EE3-80B5-1D79D1C23587}" uniqueName="5" name="Area" queryTableFieldId="5"/>
    <tableColumn id="6" xr3:uid="{16CA30A6-603A-44C6-8168-AA6D0BF9AE04}" uniqueName="6" name="Relative Intensity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F98CC05-51BC-49C8-983A-CA804D806259}" name="_3_Si_750_0_25_peak_parameters__518" displayName="_3_Si_750_0_25_peak_parameters__518" ref="B71:G90" tableType="queryTable" totalsRowShown="0">
  <autoFilter ref="B71:G90" xr:uid="{0F98CC05-51BC-49C8-983A-CA804D806259}"/>
  <tableColumns count="6">
    <tableColumn id="1" xr3:uid="{470EEF05-DA7D-4962-9EC7-5FE6374254C2}" uniqueName="1" name="Peak" queryTableFieldId="1"/>
    <tableColumn id="2" xr3:uid="{72AAA502-5133-4DC1-8977-1027DF38D99C}" uniqueName="2" name="Model" queryTableFieldId="2" dataDxfId="1"/>
    <tableColumn id="3" xr3:uid="{0301A6CC-548A-4BB7-9227-3320C06C43F6}" uniqueName="3" name="Center (cm⁻¹)" queryTableFieldId="3"/>
    <tableColumn id="4" xr3:uid="{1EB7F6A7-BEE3-4A1E-B044-333891E684A0}" uniqueName="4" name="FWHM (cm⁻¹)" queryTableFieldId="4"/>
    <tableColumn id="5" xr3:uid="{F694254C-9188-4A9A-876A-7FD9EB8C9A0B}" uniqueName="5" name="Area" queryTableFieldId="5"/>
    <tableColumn id="6" xr3:uid="{68460121-3A26-489E-8B6F-33321FB43DF9}" uniqueName="6" name="Relative Intensity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D14A341-1A1B-417F-A825-A605E9D24775}" name="_0_Ne_300_2_5_peak_parameters__420" displayName="_0_Ne_300_2_5_peak_parameters__420" ref="B15:G30" tableType="queryTable" totalsRowShown="0">
  <autoFilter ref="B15:G30" xr:uid="{4D14A341-1A1B-417F-A825-A605E9D24775}"/>
  <tableColumns count="6">
    <tableColumn id="1" xr3:uid="{847CD2E0-5A1B-414D-8715-196468A1EE01}" uniqueName="1" name="Peak" queryTableFieldId="1"/>
    <tableColumn id="2" xr3:uid="{C58BA7AD-B6D5-4264-B175-EA5FA5BC70EB}" uniqueName="2" name="Model" queryTableFieldId="2" dataDxfId="0"/>
    <tableColumn id="3" xr3:uid="{CF0D7D04-07EB-4125-A990-9932F942A500}" uniqueName="3" name="Center (cm⁻¹)" queryTableFieldId="3"/>
    <tableColumn id="4" xr3:uid="{C450238A-19F9-4921-9FF3-D7B6178D7AB6}" uniqueName="4" name="FWHM (cm⁻¹)" queryTableFieldId="4"/>
    <tableColumn id="5" xr3:uid="{33431B1B-A92E-4213-A6B8-707DB2154302}" uniqueName="5" name="Area" queryTableFieldId="5"/>
    <tableColumn id="6" xr3:uid="{AA997C99-AFB9-452E-9481-3E8745C25370}" uniqueName="6" name="Relative Intensity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628C1-E9C4-4CAA-8CA1-E657D98423B3}">
  <dimension ref="B2:Z113"/>
  <sheetViews>
    <sheetView tabSelected="1" zoomScale="88" workbookViewId="0">
      <selection activeCell="J7" sqref="J7"/>
    </sheetView>
  </sheetViews>
  <sheetFormatPr defaultRowHeight="14.4" x14ac:dyDescent="0.3"/>
  <cols>
    <col min="1" max="1" width="7.33203125" bestFit="1" customWidth="1"/>
    <col min="2" max="2" width="8.5546875" bestFit="1" customWidth="1"/>
    <col min="3" max="3" width="14.6640625" bestFit="1" customWidth="1"/>
    <col min="4" max="4" width="14.77734375" bestFit="1" customWidth="1"/>
    <col min="5" max="5" width="12.5546875" bestFit="1" customWidth="1"/>
    <col min="6" max="6" width="17.88671875" bestFit="1" customWidth="1"/>
    <col min="7" max="7" width="12.5546875" bestFit="1" customWidth="1"/>
    <col min="9" max="9" width="14.33203125" bestFit="1" customWidth="1"/>
    <col min="10" max="10" width="9.21875" style="2" bestFit="1" customWidth="1"/>
    <col min="12" max="13" width="12.5546875" bestFit="1" customWidth="1"/>
    <col min="14" max="14" width="8.88671875" style="2"/>
    <col min="15" max="15" width="12" bestFit="1" customWidth="1"/>
    <col min="16" max="16" width="12.5546875" bestFit="1" customWidth="1"/>
    <col min="17" max="17" width="9" bestFit="1" customWidth="1"/>
    <col min="20" max="20" width="12" bestFit="1" customWidth="1"/>
    <col min="21" max="21" width="9" style="2" bestFit="1" customWidth="1"/>
    <col min="23" max="26" width="14.21875" bestFit="1" customWidth="1"/>
  </cols>
  <sheetData>
    <row r="2" spans="2:26" x14ac:dyDescent="0.3">
      <c r="B2" s="23" t="s">
        <v>8</v>
      </c>
      <c r="C2" s="23"/>
      <c r="D2" s="23"/>
      <c r="E2" s="23"/>
      <c r="F2" s="23"/>
      <c r="G2" s="23"/>
      <c r="I2" s="11" t="s">
        <v>24</v>
      </c>
      <c r="J2" s="2" t="s">
        <v>25</v>
      </c>
      <c r="L2" s="3" t="s">
        <v>12</v>
      </c>
      <c r="M2" s="4" t="s">
        <v>14</v>
      </c>
      <c r="N2"/>
      <c r="O2" s="3" t="s">
        <v>21</v>
      </c>
      <c r="P2" s="9" t="s">
        <v>22</v>
      </c>
      <c r="Q2" s="4" t="s">
        <v>23</v>
      </c>
      <c r="U2" s="20" t="s">
        <v>18</v>
      </c>
      <c r="V2" s="21"/>
      <c r="W2" s="21"/>
      <c r="X2" s="21"/>
      <c r="Y2" s="21"/>
      <c r="Z2" s="22"/>
    </row>
    <row r="3" spans="2:26" x14ac:dyDescent="0.3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I3" s="12"/>
      <c r="L3" s="5"/>
      <c r="M3" s="6"/>
      <c r="N3"/>
      <c r="O3" s="5"/>
      <c r="Q3" s="6"/>
      <c r="U3" s="2" t="s">
        <v>0</v>
      </c>
      <c r="V3" t="s">
        <v>1</v>
      </c>
      <c r="W3" t="s">
        <v>2</v>
      </c>
      <c r="X3" t="s">
        <v>3</v>
      </c>
      <c r="Y3" t="s">
        <v>4</v>
      </c>
      <c r="Z3" t="s">
        <v>5</v>
      </c>
    </row>
    <row r="4" spans="2:26" x14ac:dyDescent="0.3">
      <c r="B4">
        <v>1</v>
      </c>
      <c r="C4" t="s">
        <v>7</v>
      </c>
      <c r="D4">
        <v>5223886827574267</v>
      </c>
      <c r="E4">
        <v>1.6442002036349674E+16</v>
      </c>
      <c r="F4">
        <v>4.3029993888524912E+16</v>
      </c>
      <c r="G4">
        <v>1655408412728214</v>
      </c>
      <c r="I4" s="12"/>
      <c r="L4" s="5"/>
      <c r="M4" s="6"/>
      <c r="N4"/>
      <c r="O4" s="5"/>
      <c r="Q4" s="6"/>
      <c r="T4" t="s">
        <v>19</v>
      </c>
      <c r="U4" s="2">
        <v>1</v>
      </c>
      <c r="V4" t="s">
        <v>7</v>
      </c>
      <c r="W4">
        <v>1.3494580548189392E+16</v>
      </c>
      <c r="X4">
        <v>3448601697217408</v>
      </c>
      <c r="Y4">
        <v>8554313684179969</v>
      </c>
      <c r="Z4">
        <v>157881154583266</v>
      </c>
    </row>
    <row r="5" spans="2:26" x14ac:dyDescent="0.3">
      <c r="B5">
        <v>2</v>
      </c>
      <c r="C5" t="s">
        <v>7</v>
      </c>
      <c r="D5">
        <v>5667150175266452</v>
      </c>
      <c r="E5">
        <v>1.4097383193197664E+16</v>
      </c>
      <c r="F5">
        <v>5174251943165326</v>
      </c>
      <c r="G5">
        <v>2.3062632953367232E+16</v>
      </c>
      <c r="I5" s="12"/>
      <c r="L5" s="5"/>
      <c r="M5" s="6"/>
      <c r="N5"/>
      <c r="O5" s="5"/>
      <c r="Q5" s="6"/>
      <c r="T5" t="s">
        <v>20</v>
      </c>
      <c r="U5" s="2">
        <v>2</v>
      </c>
      <c r="V5" t="s">
        <v>10</v>
      </c>
      <c r="W5">
        <v>1.5800085683721338E+16</v>
      </c>
      <c r="X5">
        <v>2289684807660394</v>
      </c>
      <c r="Y5">
        <v>1.7619202046621868E+16</v>
      </c>
      <c r="Z5">
        <v>5696422682497562</v>
      </c>
    </row>
    <row r="6" spans="2:26" x14ac:dyDescent="0.3">
      <c r="B6" s="1">
        <v>3</v>
      </c>
      <c r="C6" s="1" t="s">
        <v>7</v>
      </c>
      <c r="D6" s="1">
        <v>7683756381996405</v>
      </c>
      <c r="E6" s="1">
        <v>4.3434687211214632E+16</v>
      </c>
      <c r="F6" s="1">
        <v>2.9987045113792416E+16</v>
      </c>
      <c r="G6" s="1">
        <v>402808879156484</v>
      </c>
      <c r="I6" s="12"/>
      <c r="L6" s="5" t="s">
        <v>4</v>
      </c>
      <c r="M6" s="6"/>
      <c r="N6"/>
      <c r="O6" s="5"/>
      <c r="Q6" s="6"/>
    </row>
    <row r="7" spans="2:26" x14ac:dyDescent="0.3">
      <c r="B7" s="1">
        <v>4</v>
      </c>
      <c r="C7" s="1" t="s">
        <v>7</v>
      </c>
      <c r="D7" s="1">
        <v>7844996526630521</v>
      </c>
      <c r="E7" s="1">
        <v>5906690393531321</v>
      </c>
      <c r="F7" s="1">
        <v>1.0020894817529164E+16</v>
      </c>
      <c r="G7" s="1">
        <v>1.03146131467777E+16</v>
      </c>
      <c r="I7" s="12">
        <f>SUM(Unirradiated_peak_parameters[Area])</f>
        <v>1.7882987181007197E+17</v>
      </c>
      <c r="J7" s="2">
        <f>I7/I7</f>
        <v>1</v>
      </c>
      <c r="L7" s="5">
        <f>F6+Unirradiated_peak_parameters[[#This Row],[Area]]+F8</f>
        <v>4.3031015898604008E+16</v>
      </c>
      <c r="M7" s="6">
        <f>L7/L7</f>
        <v>1</v>
      </c>
      <c r="N7"/>
      <c r="O7" s="5"/>
      <c r="Q7" s="6"/>
    </row>
    <row r="8" spans="2:26" x14ac:dyDescent="0.3">
      <c r="B8" s="1">
        <v>5</v>
      </c>
      <c r="C8" s="1" t="s">
        <v>7</v>
      </c>
      <c r="D8" s="1">
        <v>7952629826249045</v>
      </c>
      <c r="E8" s="1">
        <v>5646710026349115</v>
      </c>
      <c r="F8" s="1">
        <v>3023075967282427</v>
      </c>
      <c r="G8" s="1">
        <v>3.2617714684014144E+16</v>
      </c>
      <c r="I8" s="12"/>
      <c r="L8" s="5"/>
      <c r="M8" s="6"/>
      <c r="N8"/>
      <c r="O8" s="5"/>
      <c r="Q8" s="6"/>
    </row>
    <row r="9" spans="2:26" x14ac:dyDescent="0.3">
      <c r="B9">
        <v>6</v>
      </c>
      <c r="C9" t="s">
        <v>7</v>
      </c>
      <c r="D9">
        <v>9758375383954328</v>
      </c>
      <c r="E9">
        <v>266640449446904</v>
      </c>
      <c r="F9">
        <v>6677394014233066</v>
      </c>
      <c r="G9">
        <v>159397010943933</v>
      </c>
      <c r="I9" s="12"/>
      <c r="L9" s="5" t="s">
        <v>26</v>
      </c>
      <c r="M9" s="6"/>
      <c r="N9"/>
      <c r="O9" s="5"/>
      <c r="Q9" s="6"/>
    </row>
    <row r="10" spans="2:26" x14ac:dyDescent="0.3">
      <c r="B10">
        <v>7</v>
      </c>
      <c r="C10" t="s">
        <v>7</v>
      </c>
      <c r="D10">
        <v>1.5218485262952736E+16</v>
      </c>
      <c r="E10">
        <v>4354891999924097</v>
      </c>
      <c r="F10">
        <v>3.1662118889525112E+16</v>
      </c>
      <c r="G10">
        <v>4625843959431655</v>
      </c>
      <c r="I10" s="12"/>
      <c r="L10" s="5">
        <f>SUM(E6:E8)</f>
        <v>5.4988087631095064E+16</v>
      </c>
      <c r="M10" s="6"/>
      <c r="N10"/>
      <c r="O10" s="5"/>
      <c r="Q10" s="6"/>
    </row>
    <row r="11" spans="2:26" x14ac:dyDescent="0.3">
      <c r="B11">
        <v>8</v>
      </c>
      <c r="C11" t="s">
        <v>7</v>
      </c>
      <c r="D11">
        <v>1.7112067895749128E+16</v>
      </c>
      <c r="E11">
        <v>1.921881041354604E+16</v>
      </c>
      <c r="F11">
        <v>4.925509717601952E+16</v>
      </c>
      <c r="G11">
        <v>1.6302062530865044E+16</v>
      </c>
      <c r="I11" s="12"/>
      <c r="L11" s="5"/>
      <c r="M11" s="6"/>
      <c r="N11"/>
      <c r="O11" s="5"/>
      <c r="Q11" s="6"/>
    </row>
    <row r="12" spans="2:26" x14ac:dyDescent="0.3">
      <c r="I12" s="12"/>
      <c r="L12" s="5"/>
      <c r="M12" s="6"/>
      <c r="N12"/>
      <c r="O12" s="5"/>
      <c r="Q12" s="6"/>
    </row>
    <row r="13" spans="2:26" x14ac:dyDescent="0.3">
      <c r="I13" s="12"/>
      <c r="J13" s="2">
        <f>(G7-G22)/G7</f>
        <v>0.2294804678912914</v>
      </c>
      <c r="L13" s="5"/>
      <c r="M13" s="6"/>
      <c r="N13"/>
      <c r="O13" s="5"/>
      <c r="Q13" s="6"/>
    </row>
    <row r="14" spans="2:26" x14ac:dyDescent="0.3">
      <c r="B14" s="23" t="s">
        <v>15</v>
      </c>
      <c r="C14" s="23"/>
      <c r="D14" s="23"/>
      <c r="E14" s="23"/>
      <c r="F14" s="23"/>
      <c r="G14" s="23"/>
      <c r="I14" s="12"/>
      <c r="L14" s="5"/>
      <c r="M14" s="6"/>
      <c r="N14"/>
      <c r="O14" s="5"/>
      <c r="Q14" s="6"/>
    </row>
    <row r="15" spans="2:26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I15" s="12"/>
      <c r="L15" s="5"/>
      <c r="M15" s="6"/>
      <c r="N15"/>
      <c r="O15" s="5"/>
      <c r="Q15" s="6"/>
    </row>
    <row r="16" spans="2:26" x14ac:dyDescent="0.3">
      <c r="B16">
        <v>1</v>
      </c>
      <c r="C16" t="s">
        <v>10</v>
      </c>
      <c r="D16">
        <v>1.9875489532492732E+16</v>
      </c>
      <c r="E16">
        <v>683777012029002</v>
      </c>
      <c r="F16">
        <v>1582631514514254</v>
      </c>
      <c r="G16">
        <v>1.9999999999999996E+16</v>
      </c>
      <c r="I16" s="12"/>
      <c r="L16" s="5"/>
      <c r="M16" s="6"/>
      <c r="N16"/>
      <c r="O16" s="5"/>
      <c r="Q16" s="6"/>
    </row>
    <row r="17" spans="2:21" x14ac:dyDescent="0.3">
      <c r="B17">
        <v>2</v>
      </c>
      <c r="C17" t="s">
        <v>10</v>
      </c>
      <c r="D17">
        <v>2560191972360294</v>
      </c>
      <c r="E17">
        <v>1.0917041595297042E+16</v>
      </c>
      <c r="F17">
        <v>2642302307158103</v>
      </c>
      <c r="G17">
        <v>2E+16</v>
      </c>
      <c r="I17" s="12"/>
      <c r="L17" s="5"/>
      <c r="M17" s="6"/>
      <c r="N17"/>
      <c r="O17" s="5"/>
      <c r="Q17" s="6"/>
    </row>
    <row r="18" spans="2:21" x14ac:dyDescent="0.3">
      <c r="B18">
        <v>3</v>
      </c>
      <c r="C18" t="s">
        <v>10</v>
      </c>
      <c r="D18">
        <v>4341737881415416</v>
      </c>
      <c r="E18">
        <v>3000433271681453</v>
      </c>
      <c r="F18">
        <v>2.1359140554765872E+16</v>
      </c>
      <c r="G18">
        <v>5.3038360087681984E+16</v>
      </c>
      <c r="I18" s="12"/>
      <c r="L18" s="5"/>
      <c r="M18" s="6"/>
      <c r="N18"/>
      <c r="O18" s="5"/>
      <c r="Q18" s="6"/>
    </row>
    <row r="19" spans="2:21" x14ac:dyDescent="0.3">
      <c r="B19">
        <v>4</v>
      </c>
      <c r="C19" t="s">
        <v>6</v>
      </c>
      <c r="D19">
        <v>531019644959293</v>
      </c>
      <c r="E19">
        <v>718486420459082</v>
      </c>
      <c r="F19">
        <v>2.9204535151319864E+16</v>
      </c>
      <c r="G19">
        <v>3.8190305353763064E+16</v>
      </c>
      <c r="I19" s="12"/>
      <c r="L19" s="5"/>
      <c r="M19" s="6"/>
      <c r="N19"/>
      <c r="O19" s="5"/>
      <c r="Q19" s="6"/>
    </row>
    <row r="20" spans="2:21" x14ac:dyDescent="0.3">
      <c r="B20">
        <v>5</v>
      </c>
      <c r="C20" t="s">
        <v>10</v>
      </c>
      <c r="D20">
        <v>5907061584167797</v>
      </c>
      <c r="E20">
        <v>7624141494150524</v>
      </c>
      <c r="F20">
        <v>2179118727631758</v>
      </c>
      <c r="G20">
        <v>2.1491496407530744E+16</v>
      </c>
      <c r="I20" s="12"/>
      <c r="L20" s="5"/>
      <c r="M20" s="6"/>
      <c r="N20"/>
      <c r="O20" s="5"/>
      <c r="Q20" s="6"/>
    </row>
    <row r="21" spans="2:21" x14ac:dyDescent="0.3">
      <c r="B21">
        <v>6</v>
      </c>
      <c r="C21" t="s">
        <v>10</v>
      </c>
      <c r="D21">
        <v>6500142032720435</v>
      </c>
      <c r="E21">
        <v>6447337457866195</v>
      </c>
      <c r="F21">
        <v>1.7456936518006874E+16</v>
      </c>
      <c r="G21">
        <v>2.0261259146708588E+16</v>
      </c>
      <c r="I21" s="12"/>
      <c r="L21" s="5"/>
      <c r="M21" s="6"/>
      <c r="N21"/>
      <c r="O21" s="5"/>
      <c r="Q21" s="6"/>
      <c r="T21" s="19" t="s">
        <v>4</v>
      </c>
      <c r="U21" s="2" t="s">
        <v>31</v>
      </c>
    </row>
    <row r="22" spans="2:21" x14ac:dyDescent="0.3">
      <c r="B22">
        <v>7</v>
      </c>
      <c r="C22" t="s">
        <v>6</v>
      </c>
      <c r="D22">
        <v>7674605233578311</v>
      </c>
      <c r="E22">
        <v>1.13029294783683E+16</v>
      </c>
      <c r="F22">
        <v>9561910018593520</v>
      </c>
      <c r="G22">
        <v>7947610895737488</v>
      </c>
      <c r="I22" s="12">
        <f>SUM(_0_Ne_300_2_5_peak_parameters__420[Area])</f>
        <v>1.9716921148503363E+17</v>
      </c>
      <c r="J22" s="2">
        <f>I22/I7</f>
        <v>1.10255188067483</v>
      </c>
      <c r="L22" s="15">
        <f>SUM(_0_Ne_300_2_5_peak_parameters__420[[#This Row],[Area]])</f>
        <v>9561910018593520</v>
      </c>
      <c r="M22" s="16">
        <f>L22/L7</f>
        <v>0.22220972056817564</v>
      </c>
      <c r="O22" s="5"/>
      <c r="Q22" s="6"/>
      <c r="S22" s="1" t="s">
        <v>30</v>
      </c>
      <c r="T22">
        <f>F16+F17+F19+F20</f>
        <v>3.5608587700623976E+16</v>
      </c>
      <c r="U22" s="2">
        <f>T22/I22</f>
        <v>0.18059912819262297</v>
      </c>
    </row>
    <row r="23" spans="2:21" x14ac:dyDescent="0.3">
      <c r="B23">
        <v>8</v>
      </c>
      <c r="C23" t="s">
        <v>10</v>
      </c>
      <c r="D23">
        <v>839233247771089</v>
      </c>
      <c r="E23">
        <v>508401909460091</v>
      </c>
      <c r="F23">
        <v>2.3128586552625984E+16</v>
      </c>
      <c r="G23">
        <v>3.3843552398806088E+16</v>
      </c>
      <c r="I23" s="12"/>
      <c r="L23" s="5"/>
      <c r="M23" s="6"/>
      <c r="N23"/>
      <c r="O23" s="5"/>
      <c r="Q23" s="6"/>
    </row>
    <row r="24" spans="2:21" x14ac:dyDescent="0.3">
      <c r="B24">
        <v>9</v>
      </c>
      <c r="C24" t="s">
        <v>6</v>
      </c>
      <c r="D24">
        <v>8761435361770519</v>
      </c>
      <c r="E24">
        <v>5671446818096547</v>
      </c>
      <c r="F24">
        <v>36215852499838</v>
      </c>
      <c r="G24">
        <v>5999497982835001</v>
      </c>
      <c r="I24" s="12"/>
      <c r="K24" s="1" t="s">
        <v>27</v>
      </c>
      <c r="L24" s="17">
        <f>SUM(F22:F26)</f>
        <v>5.574597375362216E+16</v>
      </c>
      <c r="M24" s="18">
        <f>L24/SUM(Unirradiated_peak_parameters[Area])</f>
        <v>0.31172629711901667</v>
      </c>
      <c r="N24" s="1" t="s">
        <v>28</v>
      </c>
      <c r="O24" s="5"/>
      <c r="Q24" s="6"/>
      <c r="S24" s="1" t="s">
        <v>32</v>
      </c>
      <c r="T24">
        <f>F27+F28+F29+F30</f>
        <v>6.699857295801476E+16</v>
      </c>
      <c r="U24" s="2">
        <f>T24/I22</f>
        <v>0.33980240856773103</v>
      </c>
    </row>
    <row r="25" spans="2:21" x14ac:dyDescent="0.3">
      <c r="B25">
        <v>10</v>
      </c>
      <c r="C25" t="s">
        <v>10</v>
      </c>
      <c r="D25">
        <v>9142068811850924</v>
      </c>
      <c r="E25">
        <v>5.0948076482254464E+16</v>
      </c>
      <c r="F25">
        <v>4110189486076862</v>
      </c>
      <c r="G25">
        <v>5999999999999999</v>
      </c>
      <c r="I25" s="12"/>
      <c r="K25" s="1"/>
      <c r="L25" s="17"/>
      <c r="M25" s="18">
        <f>L24/I22</f>
        <v>0.28273163610969571</v>
      </c>
      <c r="N25" s="1" t="s">
        <v>29</v>
      </c>
      <c r="O25" s="5"/>
      <c r="Q25" s="6"/>
    </row>
    <row r="26" spans="2:21" x14ac:dyDescent="0.3">
      <c r="B26">
        <v>11</v>
      </c>
      <c r="C26" t="s">
        <v>10</v>
      </c>
      <c r="D26">
        <v>9342896422926728</v>
      </c>
      <c r="E26">
        <v>3290251699148655</v>
      </c>
      <c r="F26">
        <v>1.8909071843825952E+16</v>
      </c>
      <c r="G26">
        <v>4259908830898178</v>
      </c>
      <c r="I26" s="12"/>
      <c r="L26" s="5"/>
      <c r="M26" s="6"/>
      <c r="N26"/>
      <c r="O26" s="5"/>
      <c r="Q26" s="6"/>
    </row>
    <row r="27" spans="2:21" x14ac:dyDescent="0.3">
      <c r="B27">
        <v>12</v>
      </c>
      <c r="C27" t="s">
        <v>6</v>
      </c>
      <c r="D27">
        <v>1.0693931004329128E+16</v>
      </c>
      <c r="E27">
        <v>1.2375815586529676E+16</v>
      </c>
      <c r="F27">
        <v>9066889583248088</v>
      </c>
      <c r="G27">
        <v>6882663713378637</v>
      </c>
      <c r="I27" s="12"/>
      <c r="L27" s="5"/>
      <c r="M27" s="6"/>
      <c r="N27"/>
      <c r="O27" s="5"/>
      <c r="Q27" s="6"/>
    </row>
    <row r="28" spans="2:21" x14ac:dyDescent="0.3">
      <c r="B28">
        <v>13</v>
      </c>
      <c r="C28" t="s">
        <v>11</v>
      </c>
      <c r="D28">
        <v>1.3751693687543268E+16</v>
      </c>
      <c r="E28">
        <v>1.9902831073246464E+16</v>
      </c>
      <c r="F28">
        <v>5778818438748047</v>
      </c>
      <c r="G28">
        <v>2000186907319229</v>
      </c>
      <c r="I28" s="12"/>
      <c r="L28" s="5"/>
      <c r="M28" s="6"/>
      <c r="N28"/>
      <c r="O28" s="5"/>
    </row>
    <row r="29" spans="2:21" x14ac:dyDescent="0.3">
      <c r="B29">
        <v>14</v>
      </c>
      <c r="C29" t="s">
        <v>7</v>
      </c>
      <c r="D29">
        <v>1.4498521525487932E+16</v>
      </c>
      <c r="E29">
        <v>1988397022603765</v>
      </c>
      <c r="F29">
        <v>1.311852913832496E+16</v>
      </c>
      <c r="G29">
        <v>417558583516125</v>
      </c>
      <c r="I29" s="12"/>
      <c r="L29" s="5"/>
      <c r="M29" s="6"/>
      <c r="N29"/>
      <c r="O29" s="5"/>
      <c r="Q29" s="6"/>
    </row>
    <row r="30" spans="2:21" x14ac:dyDescent="0.3">
      <c r="B30">
        <v>15</v>
      </c>
      <c r="C30" t="s">
        <v>11</v>
      </c>
      <c r="D30">
        <v>1.5920047823582336E+16</v>
      </c>
      <c r="E30">
        <v>1.0209082368237136E+16</v>
      </c>
      <c r="F30">
        <v>3.9034335797693664E+16</v>
      </c>
      <c r="G30">
        <v>2.3302196362912116E+16</v>
      </c>
      <c r="I30" s="12"/>
      <c r="L30" s="5"/>
      <c r="M30" s="6"/>
      <c r="N30"/>
      <c r="O30" s="5">
        <f>F29</f>
        <v>1.311852913832496E+16</v>
      </c>
      <c r="Q30" s="6">
        <f>O30/Y4</f>
        <v>1.5335571762566858</v>
      </c>
    </row>
    <row r="31" spans="2:21" x14ac:dyDescent="0.3">
      <c r="I31" s="12"/>
      <c r="L31" s="5"/>
      <c r="M31" s="6"/>
      <c r="N31"/>
      <c r="O31" s="5"/>
      <c r="Q31" s="6"/>
    </row>
    <row r="32" spans="2:21" x14ac:dyDescent="0.3">
      <c r="I32" s="12"/>
      <c r="L32" s="5"/>
      <c r="M32" s="6"/>
      <c r="N32"/>
      <c r="O32" s="5"/>
      <c r="P32">
        <f>F30</f>
        <v>3.9034335797693664E+16</v>
      </c>
      <c r="Q32" s="6">
        <f>P32/Y5</f>
        <v>2.2154428840991538</v>
      </c>
    </row>
    <row r="33" spans="2:17" x14ac:dyDescent="0.3">
      <c r="B33" s="23" t="s">
        <v>9</v>
      </c>
      <c r="C33" s="23"/>
      <c r="D33" s="23"/>
      <c r="E33" s="23"/>
      <c r="F33" s="23"/>
      <c r="G33" s="23"/>
      <c r="I33" s="12"/>
      <c r="L33" s="5"/>
      <c r="M33" s="6"/>
      <c r="N33"/>
      <c r="O33" s="5"/>
      <c r="Q33" s="6"/>
    </row>
    <row r="34" spans="2:17" x14ac:dyDescent="0.3">
      <c r="B34" t="s">
        <v>0</v>
      </c>
      <c r="C34" t="s">
        <v>1</v>
      </c>
      <c r="D34" t="s">
        <v>2</v>
      </c>
      <c r="E34" t="s">
        <v>3</v>
      </c>
      <c r="F34" t="s">
        <v>4</v>
      </c>
      <c r="G34" t="s">
        <v>5</v>
      </c>
      <c r="I34" s="12"/>
      <c r="L34" s="5"/>
      <c r="M34" s="6"/>
      <c r="N34"/>
      <c r="O34" s="5"/>
      <c r="Q34" s="6"/>
    </row>
    <row r="35" spans="2:17" x14ac:dyDescent="0.3">
      <c r="B35">
        <v>1</v>
      </c>
      <c r="C35" t="s">
        <v>10</v>
      </c>
      <c r="D35">
        <v>4344511025829546</v>
      </c>
      <c r="E35">
        <v>1.8080546974923928E+16</v>
      </c>
      <c r="F35">
        <v>547100725915936</v>
      </c>
      <c r="G35">
        <v>2036533210260579</v>
      </c>
      <c r="I35" s="12"/>
      <c r="L35" s="5"/>
      <c r="M35" s="6"/>
      <c r="N35"/>
      <c r="O35" s="5"/>
      <c r="Q35" s="6"/>
    </row>
    <row r="36" spans="2:17" x14ac:dyDescent="0.3">
      <c r="B36">
        <v>2</v>
      </c>
      <c r="C36" t="s">
        <v>10</v>
      </c>
      <c r="D36">
        <v>5307021336443167</v>
      </c>
      <c r="E36">
        <v>6276190127461625</v>
      </c>
      <c r="F36">
        <v>2.0048805309605756E+16</v>
      </c>
      <c r="G36">
        <v>2.3999999999999004E+16</v>
      </c>
      <c r="I36" s="12"/>
      <c r="L36" s="5"/>
      <c r="M36" s="6"/>
      <c r="N36"/>
      <c r="O36" s="5"/>
      <c r="Q36" s="6"/>
    </row>
    <row r="37" spans="2:17" x14ac:dyDescent="0.3">
      <c r="B37">
        <v>3</v>
      </c>
      <c r="C37" t="s">
        <v>10</v>
      </c>
      <c r="D37">
        <v>5732332030666439</v>
      </c>
      <c r="E37">
        <v>8705335787116832</v>
      </c>
      <c r="F37">
        <v>1.3820124206916772E+16</v>
      </c>
      <c r="G37">
        <v>1199999999999999</v>
      </c>
      <c r="I37" s="12"/>
      <c r="L37" s="5"/>
      <c r="M37" s="6"/>
      <c r="N37"/>
      <c r="O37" s="5"/>
      <c r="Q37" s="6"/>
    </row>
    <row r="38" spans="2:17" x14ac:dyDescent="0.3">
      <c r="B38">
        <v>4</v>
      </c>
      <c r="C38" t="s">
        <v>10</v>
      </c>
      <c r="D38">
        <v>6435149236148137</v>
      </c>
      <c r="E38">
        <v>5.3605466417166016E+16</v>
      </c>
      <c r="F38">
        <v>4311575981444801</v>
      </c>
      <c r="G38">
        <v>5999999999620194</v>
      </c>
      <c r="I38" s="12"/>
      <c r="L38" s="5"/>
      <c r="M38" s="6"/>
      <c r="N38"/>
      <c r="O38" s="5"/>
      <c r="Q38" s="6"/>
    </row>
    <row r="39" spans="2:17" x14ac:dyDescent="0.3">
      <c r="B39" s="1">
        <v>5</v>
      </c>
      <c r="C39" s="1" t="s">
        <v>10</v>
      </c>
      <c r="D39" s="1">
        <v>7709206237567861</v>
      </c>
      <c r="E39" s="1">
        <v>1.1575162559484628E+16</v>
      </c>
      <c r="F39" s="1">
        <v>8671281884935685</v>
      </c>
      <c r="G39" s="1">
        <v>5667941594807468</v>
      </c>
      <c r="I39" s="12">
        <f>SUM(_1_Si_300_2_5_peak_parameters[Area])</f>
        <v>1.7311211967310726E+17</v>
      </c>
      <c r="J39" s="2">
        <f>I39/I7</f>
        <v>0.9680268621842032</v>
      </c>
      <c r="L39" s="5">
        <f>_1_Si_300_2_5_peak_parameters[[#This Row],[Area]]</f>
        <v>8671281884935685</v>
      </c>
      <c r="M39" s="6">
        <f>L39/L7</f>
        <v>0.20151236739026174</v>
      </c>
      <c r="N39"/>
      <c r="O39" s="5"/>
      <c r="Q39" s="6"/>
    </row>
    <row r="40" spans="2:17" x14ac:dyDescent="0.3">
      <c r="B40">
        <v>6</v>
      </c>
      <c r="C40" t="s">
        <v>10</v>
      </c>
      <c r="D40">
        <v>859280743144971</v>
      </c>
      <c r="E40">
        <v>7053413955122845</v>
      </c>
      <c r="F40">
        <v>3.3982135571220384E+16</v>
      </c>
      <c r="G40">
        <v>3.5999999832534488E+16</v>
      </c>
      <c r="I40" s="12"/>
      <c r="L40" s="5"/>
      <c r="M40" s="6"/>
      <c r="N40"/>
      <c r="O40" s="5"/>
      <c r="Q40" s="6"/>
    </row>
    <row r="41" spans="2:17" x14ac:dyDescent="0.3">
      <c r="B41">
        <v>7</v>
      </c>
      <c r="C41" t="s">
        <v>10</v>
      </c>
      <c r="D41">
        <v>8996710998108709</v>
      </c>
      <c r="E41">
        <v>5.8151722405128528E+16</v>
      </c>
      <c r="F41">
        <v>2.8117577675941004E+16</v>
      </c>
      <c r="G41">
        <v>3599999058695737</v>
      </c>
      <c r="I41" s="12"/>
      <c r="L41" s="5">
        <f>SUM(F39:F42)</f>
        <v>8.7699632616844032E+16</v>
      </c>
      <c r="M41" s="6">
        <f>L41/I39</f>
        <v>0.50660596602046026</v>
      </c>
      <c r="N41"/>
      <c r="O41" s="5"/>
      <c r="Q41" s="6"/>
    </row>
    <row r="42" spans="2:17" x14ac:dyDescent="0.3">
      <c r="B42">
        <v>8</v>
      </c>
      <c r="C42" t="s">
        <v>10</v>
      </c>
      <c r="D42">
        <v>9278378904175204</v>
      </c>
      <c r="E42">
        <v>3478031789415118</v>
      </c>
      <c r="F42">
        <v>1.6928637484746962E+16</v>
      </c>
      <c r="G42">
        <v>3599999699570319</v>
      </c>
      <c r="I42" s="12"/>
      <c r="L42" s="5"/>
      <c r="M42" s="6"/>
      <c r="N42"/>
      <c r="O42" s="5"/>
      <c r="Q42" s="6"/>
    </row>
    <row r="43" spans="2:17" x14ac:dyDescent="0.3">
      <c r="B43">
        <v>9</v>
      </c>
      <c r="C43" t="s">
        <v>6</v>
      </c>
      <c r="D43">
        <v>1.0739678650212682E+16</v>
      </c>
      <c r="E43">
        <v>382819498731203</v>
      </c>
      <c r="F43">
        <v>7405957669048529</v>
      </c>
      <c r="G43">
        <v>1815698913431861</v>
      </c>
      <c r="I43" s="12"/>
      <c r="L43" s="5"/>
      <c r="M43" s="6"/>
      <c r="N43"/>
      <c r="O43" s="5"/>
      <c r="Q43" s="6"/>
    </row>
    <row r="44" spans="2:17" x14ac:dyDescent="0.3">
      <c r="B44">
        <v>10</v>
      </c>
      <c r="C44" t="s">
        <v>7</v>
      </c>
      <c r="D44">
        <v>1398529962910786</v>
      </c>
      <c r="E44">
        <v>1.7383636596177132E+16</v>
      </c>
      <c r="F44">
        <v>3.7355841763575264E+16</v>
      </c>
      <c r="G44">
        <v>1.3679874317863134E+16</v>
      </c>
      <c r="I44" s="12"/>
      <c r="L44" s="5"/>
      <c r="M44" s="6"/>
      <c r="N44"/>
      <c r="O44" s="5"/>
      <c r="Q44" s="6"/>
    </row>
    <row r="45" spans="2:17" x14ac:dyDescent="0.3">
      <c r="B45">
        <v>11</v>
      </c>
      <c r="C45" t="s">
        <v>11</v>
      </c>
      <c r="D45">
        <v>1.5802133080992788E+16</v>
      </c>
      <c r="E45">
        <v>1.0076859750360606E+16</v>
      </c>
      <c r="F45">
        <v>1923081399756148</v>
      </c>
      <c r="G45">
        <v>1.2573055215330762E+16</v>
      </c>
      <c r="I45" s="12"/>
      <c r="L45" s="5"/>
      <c r="M45" s="6"/>
      <c r="N45"/>
      <c r="O45" s="5"/>
      <c r="Q45" s="6"/>
    </row>
    <row r="46" spans="2:17" x14ac:dyDescent="0.3">
      <c r="I46" s="12"/>
      <c r="L46" s="5"/>
      <c r="M46" s="6"/>
      <c r="N46"/>
      <c r="O46" s="5"/>
      <c r="Q46" s="6"/>
    </row>
    <row r="47" spans="2:17" x14ac:dyDescent="0.3">
      <c r="I47" s="12"/>
      <c r="L47" s="5"/>
      <c r="M47" s="6"/>
      <c r="N47"/>
      <c r="O47" s="5"/>
      <c r="Q47" s="6"/>
    </row>
    <row r="48" spans="2:17" x14ac:dyDescent="0.3">
      <c r="B48" s="23" t="s">
        <v>13</v>
      </c>
      <c r="C48" s="23"/>
      <c r="D48" s="23"/>
      <c r="E48" s="23"/>
      <c r="F48" s="23"/>
      <c r="G48" s="23"/>
      <c r="I48" s="12"/>
      <c r="L48" s="5"/>
      <c r="M48" s="6"/>
      <c r="N48"/>
      <c r="O48" s="5"/>
      <c r="Q48" s="6"/>
    </row>
    <row r="49" spans="2:17" x14ac:dyDescent="0.3">
      <c r="B49" t="s">
        <v>0</v>
      </c>
      <c r="C49" t="s">
        <v>1</v>
      </c>
      <c r="D49" t="s">
        <v>2</v>
      </c>
      <c r="E49" t="s">
        <v>3</v>
      </c>
      <c r="F49" t="s">
        <v>4</v>
      </c>
      <c r="G49" t="s">
        <v>5</v>
      </c>
      <c r="I49" s="12"/>
      <c r="L49" s="5"/>
      <c r="M49" s="6"/>
      <c r="N49"/>
      <c r="O49" s="5"/>
      <c r="Q49" s="6"/>
    </row>
    <row r="50" spans="2:17" x14ac:dyDescent="0.3">
      <c r="B50">
        <v>1</v>
      </c>
      <c r="C50" t="s">
        <v>10</v>
      </c>
      <c r="D50">
        <v>2.2108084953289096E+16</v>
      </c>
      <c r="E50">
        <v>6428372035706346</v>
      </c>
      <c r="F50">
        <v>7899552749066179</v>
      </c>
      <c r="G50">
        <v>1.0462590482453272E+16</v>
      </c>
      <c r="I50" s="12">
        <f>SUM(_2_Si_300_0_25_peak_parameters__29[Area])</f>
        <v>1.8782780079358717E+17</v>
      </c>
      <c r="J50" s="2">
        <f>I50/I7</f>
        <v>1.0503155814654475</v>
      </c>
      <c r="L50" s="5"/>
      <c r="M50" s="6"/>
      <c r="N50"/>
      <c r="O50" s="5"/>
      <c r="Q50" s="6"/>
    </row>
    <row r="51" spans="2:17" x14ac:dyDescent="0.3">
      <c r="B51">
        <v>2</v>
      </c>
      <c r="C51" t="s">
        <v>10</v>
      </c>
      <c r="D51">
        <v>2.8307616397026224E+16</v>
      </c>
      <c r="E51">
        <v>8295786072567796</v>
      </c>
      <c r="F51">
        <v>1.2480603109842568E+16</v>
      </c>
      <c r="G51">
        <v>1.1999999999944098E+16</v>
      </c>
      <c r="I51" s="12"/>
      <c r="L51" s="5"/>
      <c r="M51" s="6"/>
      <c r="N51"/>
      <c r="O51" s="5"/>
      <c r="Q51" s="6"/>
    </row>
    <row r="52" spans="2:17" x14ac:dyDescent="0.3">
      <c r="B52">
        <v>3</v>
      </c>
      <c r="C52" t="s">
        <v>10</v>
      </c>
      <c r="D52">
        <v>4310186196855669</v>
      </c>
      <c r="E52">
        <v>1921983818439591</v>
      </c>
      <c r="F52">
        <v>5290061210407165</v>
      </c>
      <c r="G52">
        <v>2.0405993304663736E+16</v>
      </c>
      <c r="I52" s="12"/>
      <c r="L52" s="5"/>
      <c r="M52" s="6"/>
      <c r="N52"/>
      <c r="O52" s="5"/>
      <c r="Q52" s="6"/>
    </row>
    <row r="53" spans="2:17" x14ac:dyDescent="0.3">
      <c r="B53">
        <v>4</v>
      </c>
      <c r="C53" t="s">
        <v>10</v>
      </c>
      <c r="D53">
        <v>52539064803574</v>
      </c>
      <c r="E53">
        <v>3708753320133588</v>
      </c>
      <c r="F53">
        <v>9321478018285998</v>
      </c>
      <c r="G53">
        <v>1.8721233518170648E+16</v>
      </c>
      <c r="I53" s="12"/>
      <c r="L53" s="5"/>
      <c r="M53" s="6"/>
      <c r="N53"/>
      <c r="O53" s="5"/>
      <c r="Q53" s="6"/>
    </row>
    <row r="54" spans="2:17" x14ac:dyDescent="0.3">
      <c r="B54">
        <v>5</v>
      </c>
      <c r="C54" t="s">
        <v>10</v>
      </c>
      <c r="D54">
        <v>5543802903528302</v>
      </c>
      <c r="E54">
        <v>4.713761130262056E+16</v>
      </c>
      <c r="F54">
        <v>1.1391261401524612E+16</v>
      </c>
      <c r="G54">
        <v>1.8039822429270644E+16</v>
      </c>
      <c r="I54" s="12"/>
      <c r="L54" s="5"/>
      <c r="M54" s="6">
        <f>L54/L7</f>
        <v>0</v>
      </c>
      <c r="N54"/>
      <c r="O54" s="5"/>
      <c r="Q54" s="6"/>
    </row>
    <row r="55" spans="2:17" x14ac:dyDescent="0.3">
      <c r="B55">
        <v>6</v>
      </c>
      <c r="C55" t="s">
        <v>10</v>
      </c>
      <c r="D55">
        <v>5970965105782448</v>
      </c>
      <c r="E55">
        <v>6772651267165526</v>
      </c>
      <c r="F55">
        <v>9325495777200088</v>
      </c>
      <c r="G55">
        <v>1.0335222607960988E+16</v>
      </c>
      <c r="I55" s="12"/>
      <c r="L55" s="5"/>
      <c r="M55" s="6"/>
      <c r="N55"/>
      <c r="O55" s="5"/>
      <c r="Q55" s="6"/>
    </row>
    <row r="56" spans="2:17" x14ac:dyDescent="0.3">
      <c r="B56">
        <v>7</v>
      </c>
      <c r="C56" t="s">
        <v>10</v>
      </c>
      <c r="D56">
        <v>6604404547566813</v>
      </c>
      <c r="E56">
        <v>3849214783984532</v>
      </c>
      <c r="F56">
        <v>5299430394126564</v>
      </c>
      <c r="G56">
        <v>1.0229068114858014E+16</v>
      </c>
      <c r="I56" s="12"/>
      <c r="L56" s="5"/>
      <c r="M56" s="6"/>
      <c r="N56"/>
      <c r="O56" s="5"/>
      <c r="Q56" s="6"/>
    </row>
    <row r="57" spans="2:17" x14ac:dyDescent="0.3">
      <c r="B57">
        <v>8</v>
      </c>
      <c r="C57" t="s">
        <v>7</v>
      </c>
      <c r="D57">
        <v>7622399817547688</v>
      </c>
      <c r="E57">
        <v>4.2248120159029848E+16</v>
      </c>
      <c r="F57">
        <v>144456327301621</v>
      </c>
      <c r="G57">
        <v>2.1760545581877176E+16</v>
      </c>
      <c r="I57" s="12"/>
      <c r="L57" s="5"/>
      <c r="M57" s="6"/>
      <c r="N57"/>
      <c r="O57" s="5"/>
      <c r="Q57" s="6"/>
    </row>
    <row r="58" spans="2:17" x14ac:dyDescent="0.3">
      <c r="B58">
        <v>9</v>
      </c>
      <c r="C58" t="s">
        <v>7</v>
      </c>
      <c r="D58">
        <v>7902931698293096</v>
      </c>
      <c r="E58">
        <v>293786886216896</v>
      </c>
      <c r="F58">
        <v>3.2423856250765208E+16</v>
      </c>
      <c r="G58">
        <v>7024649446640536</v>
      </c>
      <c r="I58" s="12"/>
      <c r="L58" s="5"/>
      <c r="M58" s="6"/>
      <c r="N58"/>
      <c r="O58" s="5"/>
      <c r="Q58" s="6"/>
    </row>
    <row r="59" spans="2:17" x14ac:dyDescent="0.3">
      <c r="B59">
        <v>10</v>
      </c>
      <c r="C59" t="s">
        <v>7</v>
      </c>
      <c r="D59">
        <v>8317946343971541</v>
      </c>
      <c r="E59">
        <v>3260606628327499</v>
      </c>
      <c r="F59">
        <v>7043724932643198</v>
      </c>
      <c r="G59">
        <v>1.3748087316719308E+16</v>
      </c>
      <c r="I59" s="12"/>
      <c r="L59" s="5"/>
      <c r="M59" s="6"/>
      <c r="N59"/>
      <c r="O59" s="5"/>
      <c r="Q59" s="6">
        <f>O59/Y4</f>
        <v>0</v>
      </c>
    </row>
    <row r="60" spans="2:17" x14ac:dyDescent="0.3">
      <c r="B60">
        <v>11</v>
      </c>
      <c r="C60" t="s">
        <v>6</v>
      </c>
      <c r="D60">
        <v>7698955262971903</v>
      </c>
      <c r="E60">
        <v>9887739282695488</v>
      </c>
      <c r="F60">
        <v>5083372382848499</v>
      </c>
      <c r="G60">
        <v>4828664314561482</v>
      </c>
      <c r="I60" s="12"/>
      <c r="L60" s="5"/>
      <c r="M60" s="6"/>
      <c r="N60"/>
      <c r="O60" s="5"/>
      <c r="Q60" s="6"/>
    </row>
    <row r="61" spans="2:17" x14ac:dyDescent="0.3">
      <c r="B61">
        <v>12</v>
      </c>
      <c r="C61" t="s">
        <v>10</v>
      </c>
      <c r="D61">
        <v>8557211141035056</v>
      </c>
      <c r="E61">
        <v>425108903702002</v>
      </c>
      <c r="F61">
        <v>1.7585861993803976E+16</v>
      </c>
      <c r="G61">
        <v>3.0699479473503464E+16</v>
      </c>
      <c r="I61" s="12"/>
      <c r="L61" s="5"/>
      <c r="M61" s="6"/>
      <c r="N61"/>
      <c r="O61" s="5"/>
      <c r="Q61" s="6"/>
    </row>
    <row r="62" spans="2:17" x14ac:dyDescent="0.3">
      <c r="B62">
        <v>13</v>
      </c>
      <c r="C62" t="s">
        <v>10</v>
      </c>
      <c r="D62">
        <v>9434631173178388</v>
      </c>
      <c r="E62">
        <v>2641092974646292</v>
      </c>
      <c r="F62">
        <v>1.1194175346964548E+16</v>
      </c>
      <c r="G62">
        <v>3.1283476127682708E+16</v>
      </c>
      <c r="I62" s="12"/>
      <c r="L62" s="5"/>
      <c r="M62" s="14"/>
      <c r="O62" s="5"/>
      <c r="Q62" s="14"/>
    </row>
    <row r="63" spans="2:17" x14ac:dyDescent="0.3">
      <c r="B63">
        <v>14</v>
      </c>
      <c r="C63" t="s">
        <v>10</v>
      </c>
      <c r="D63">
        <v>9237332813631236</v>
      </c>
      <c r="E63">
        <v>3607643032456965</v>
      </c>
      <c r="F63">
        <v>1.1242026139382496E+16</v>
      </c>
      <c r="G63">
        <v>2309646263323072</v>
      </c>
      <c r="I63" s="12"/>
      <c r="L63" s="5"/>
      <c r="M63" s="14"/>
      <c r="O63" s="5"/>
      <c r="Q63" s="14"/>
    </row>
    <row r="64" spans="2:17" x14ac:dyDescent="0.3">
      <c r="B64">
        <v>15</v>
      </c>
      <c r="C64" t="s">
        <v>6</v>
      </c>
      <c r="D64">
        <v>9117818394460844</v>
      </c>
      <c r="E64">
        <v>6239407812025276</v>
      </c>
      <c r="F64">
        <v>2390825101302176</v>
      </c>
      <c r="G64">
        <v>3.5986190723613896E+16</v>
      </c>
      <c r="I64" s="12"/>
      <c r="L64" s="5"/>
      <c r="M64" s="14"/>
      <c r="O64" s="5"/>
      <c r="Q64" s="14"/>
    </row>
    <row r="65" spans="2:17" x14ac:dyDescent="0.3">
      <c r="B65">
        <v>16</v>
      </c>
      <c r="C65" t="s">
        <v>10</v>
      </c>
      <c r="D65">
        <v>8824597711577634</v>
      </c>
      <c r="E65">
        <v>4751892885833776</v>
      </c>
      <c r="F65">
        <v>1.7889032738606408E+16</v>
      </c>
      <c r="G65">
        <v>2797703343534901</v>
      </c>
      <c r="I65" s="12"/>
      <c r="L65" s="5"/>
      <c r="M65" s="14"/>
      <c r="O65" s="5"/>
      <c r="Q65" s="14"/>
    </row>
    <row r="66" spans="2:17" x14ac:dyDescent="0.3">
      <c r="B66">
        <v>17</v>
      </c>
      <c r="C66" t="s">
        <v>11</v>
      </c>
      <c r="D66">
        <v>1.0642795546767388E+16</v>
      </c>
      <c r="E66">
        <v>9778098224460528</v>
      </c>
      <c r="F66">
        <v>2.1447396532436084E+16</v>
      </c>
      <c r="G66">
        <v>522049625677908</v>
      </c>
      <c r="I66" s="12"/>
      <c r="L66" s="5"/>
      <c r="M66" s="14"/>
      <c r="O66" s="5"/>
      <c r="Q66" s="14"/>
    </row>
    <row r="67" spans="2:17" x14ac:dyDescent="0.3">
      <c r="B67">
        <v>18</v>
      </c>
      <c r="C67" t="s">
        <v>7</v>
      </c>
      <c r="D67">
        <v>1.4178839759617454E+16</v>
      </c>
      <c r="E67">
        <v>1.8988780905538808E+16</v>
      </c>
      <c r="F67">
        <v>375190387079778</v>
      </c>
      <c r="G67">
        <v>1.2578670041960206E+16</v>
      </c>
      <c r="I67" s="12"/>
      <c r="L67" s="5"/>
      <c r="M67" s="14"/>
      <c r="O67" s="5"/>
      <c r="Q67" s="14"/>
    </row>
    <row r="68" spans="2:17" x14ac:dyDescent="0.3">
      <c r="I68" s="12"/>
      <c r="L68" s="5"/>
      <c r="M68" s="14"/>
      <c r="O68" s="5"/>
      <c r="Q68" s="14"/>
    </row>
    <row r="69" spans="2:17" x14ac:dyDescent="0.3">
      <c r="I69" s="12"/>
      <c r="L69" s="5"/>
      <c r="M69" s="14"/>
      <c r="O69" s="5"/>
      <c r="Q69" s="14"/>
    </row>
    <row r="70" spans="2:17" x14ac:dyDescent="0.3">
      <c r="B70" s="23" t="s">
        <v>16</v>
      </c>
      <c r="C70" s="23"/>
      <c r="D70" s="23"/>
      <c r="E70" s="23"/>
      <c r="F70" s="23"/>
      <c r="G70" s="23"/>
      <c r="I70" s="12"/>
      <c r="L70" s="5"/>
      <c r="M70" s="6"/>
      <c r="N70"/>
      <c r="O70" s="5"/>
      <c r="Q70" s="6"/>
    </row>
    <row r="71" spans="2:17" x14ac:dyDescent="0.3">
      <c r="B71" t="s">
        <v>0</v>
      </c>
      <c r="C71" t="s">
        <v>1</v>
      </c>
      <c r="D71" t="s">
        <v>2</v>
      </c>
      <c r="E71" t="s">
        <v>3</v>
      </c>
      <c r="F71" t="s">
        <v>4</v>
      </c>
      <c r="G71" t="s">
        <v>5</v>
      </c>
      <c r="I71" s="12"/>
      <c r="L71" s="5"/>
      <c r="M71" s="6"/>
      <c r="N71"/>
      <c r="O71" s="5"/>
      <c r="Q71" s="6"/>
    </row>
    <row r="72" spans="2:17" x14ac:dyDescent="0.3">
      <c r="B72">
        <v>1</v>
      </c>
      <c r="C72" t="s">
        <v>10</v>
      </c>
      <c r="D72">
        <v>2.0712541977723844E+16</v>
      </c>
      <c r="E72">
        <v>3.2080928041984416E+16</v>
      </c>
      <c r="F72">
        <v>3.0217068530125184E+16</v>
      </c>
      <c r="G72">
        <v>7615185850470015</v>
      </c>
      <c r="I72" s="12">
        <f>SUM(_3_Si_750_0_25_peak_parameters__518[Area])</f>
        <v>2.7251057416806122E+17</v>
      </c>
      <c r="J72" s="2">
        <f>I72/I7</f>
        <v>1.5238537690027747</v>
      </c>
      <c r="L72" s="5"/>
      <c r="M72" s="6"/>
      <c r="N72"/>
      <c r="O72" s="5"/>
      <c r="Q72" s="6"/>
    </row>
    <row r="73" spans="2:17" x14ac:dyDescent="0.3">
      <c r="B73">
        <v>2</v>
      </c>
      <c r="C73" t="s">
        <v>10</v>
      </c>
      <c r="D73">
        <v>2740641326301256</v>
      </c>
      <c r="E73">
        <v>1.1254957009593108E+16</v>
      </c>
      <c r="F73">
        <v>2430216582098642</v>
      </c>
      <c r="G73">
        <v>1.7993988414837252E+16</v>
      </c>
      <c r="I73" s="12"/>
      <c r="L73" s="5"/>
      <c r="M73" s="6"/>
      <c r="N73"/>
      <c r="O73" s="5"/>
      <c r="Q73" s="6"/>
    </row>
    <row r="74" spans="2:17" x14ac:dyDescent="0.3">
      <c r="B74">
        <v>3</v>
      </c>
      <c r="C74" t="s">
        <v>10</v>
      </c>
      <c r="D74">
        <v>4355288873512292</v>
      </c>
      <c r="E74">
        <v>2.7813106861278576E+16</v>
      </c>
      <c r="F74">
        <v>2.0964989863291748E+16</v>
      </c>
      <c r="G74">
        <v>5593654726015481</v>
      </c>
      <c r="I74" s="12"/>
      <c r="L74" s="5"/>
      <c r="M74" s="6"/>
      <c r="N74"/>
      <c r="O74" s="5"/>
      <c r="Q74" s="6"/>
    </row>
    <row r="75" spans="2:17" x14ac:dyDescent="0.3">
      <c r="B75">
        <v>4</v>
      </c>
      <c r="C75" t="s">
        <v>10</v>
      </c>
      <c r="D75">
        <v>5458557501874925</v>
      </c>
      <c r="E75">
        <v>4.2058649431644408E+16</v>
      </c>
      <c r="F75">
        <v>1.5644413887499564E+16</v>
      </c>
      <c r="G75">
        <v>2.7736067180006584E+16</v>
      </c>
      <c r="I75" s="12"/>
      <c r="L75" s="5"/>
      <c r="M75" s="6"/>
      <c r="N75"/>
      <c r="O75" s="5"/>
      <c r="Q75" s="6"/>
    </row>
    <row r="76" spans="2:17" x14ac:dyDescent="0.3">
      <c r="B76">
        <v>5</v>
      </c>
      <c r="C76" t="s">
        <v>10</v>
      </c>
      <c r="D76">
        <v>5204337146254021</v>
      </c>
      <c r="E76">
        <v>2.7715758366471284E+16</v>
      </c>
      <c r="F76">
        <v>1.1974517284880152E+16</v>
      </c>
      <c r="G76">
        <v>3204137397842564</v>
      </c>
      <c r="I76" s="12"/>
      <c r="L76" s="5"/>
      <c r="M76" s="6"/>
      <c r="N76"/>
      <c r="O76" s="5"/>
      <c r="Q76" s="6"/>
    </row>
    <row r="77" spans="2:17" x14ac:dyDescent="0.3">
      <c r="B77">
        <v>6</v>
      </c>
      <c r="C77" t="s">
        <v>10</v>
      </c>
      <c r="D77">
        <v>5789137911950443</v>
      </c>
      <c r="E77">
        <v>5906705315093893</v>
      </c>
      <c r="F77">
        <v>1.5771706519522476E+16</v>
      </c>
      <c r="G77">
        <v>2</v>
      </c>
      <c r="I77" s="12"/>
      <c r="L77" s="5"/>
      <c r="M77" s="6"/>
      <c r="N77"/>
      <c r="O77" s="5"/>
      <c r="Q77" s="6"/>
    </row>
    <row r="78" spans="2:17" x14ac:dyDescent="0.3">
      <c r="B78">
        <v>7</v>
      </c>
      <c r="C78" t="s">
        <v>10</v>
      </c>
      <c r="D78">
        <v>6620153072917117</v>
      </c>
      <c r="E78">
        <v>2.994444022360384E+16</v>
      </c>
      <c r="F78">
        <v>6740730756422415</v>
      </c>
      <c r="G78">
        <v>1666789555681049</v>
      </c>
      <c r="I78" s="12"/>
      <c r="L78" s="5"/>
      <c r="M78" s="6"/>
      <c r="N78"/>
      <c r="O78" s="5"/>
      <c r="Q78" s="6"/>
    </row>
    <row r="79" spans="2:17" x14ac:dyDescent="0.3">
      <c r="B79">
        <v>8</v>
      </c>
      <c r="C79" t="s">
        <v>7</v>
      </c>
      <c r="D79">
        <v>7664329845295964</v>
      </c>
      <c r="E79">
        <v>9562959877852938</v>
      </c>
      <c r="F79">
        <v>1.6120266293154846E+16</v>
      </c>
      <c r="G79">
        <v>1.0434086438481188E+16</v>
      </c>
      <c r="I79" s="12"/>
      <c r="L79" s="5"/>
      <c r="M79" s="6"/>
      <c r="N79"/>
      <c r="O79" s="5"/>
      <c r="Q79" s="6"/>
    </row>
    <row r="80" spans="2:17" x14ac:dyDescent="0.3">
      <c r="B80">
        <v>9</v>
      </c>
      <c r="C80" t="s">
        <v>7</v>
      </c>
      <c r="D80">
        <v>7877161811384832</v>
      </c>
      <c r="E80">
        <v>7210728130354387</v>
      </c>
      <c r="F80">
        <v>4444673782208488</v>
      </c>
      <c r="G80">
        <v>3.7450058896313968E+16</v>
      </c>
      <c r="I80" s="12"/>
      <c r="L80" s="5"/>
      <c r="M80" s="6"/>
      <c r="N80"/>
      <c r="O80" s="5"/>
      <c r="Q80" s="6"/>
    </row>
    <row r="81" spans="2:17" x14ac:dyDescent="0.3">
      <c r="B81">
        <v>10</v>
      </c>
      <c r="C81" t="s">
        <v>7</v>
      </c>
      <c r="D81">
        <v>7960926047580897</v>
      </c>
      <c r="E81">
        <v>1.0078232719176318E+16</v>
      </c>
      <c r="F81">
        <v>1.7776019299572632E+16</v>
      </c>
      <c r="G81">
        <v>1.1205116791456656E+16</v>
      </c>
      <c r="I81" s="12"/>
      <c r="L81" s="5">
        <f>F79+F80+_3_Si_750_0_25_peak_parameters__518[[#This Row],[Area]]+F82</f>
        <v>4.3792956558493816E+16</v>
      </c>
      <c r="M81" s="6">
        <f>L81/L7</f>
        <v>1.01770677833136</v>
      </c>
      <c r="N81"/>
      <c r="O81" s="5"/>
      <c r="Q81" s="6"/>
    </row>
    <row r="82" spans="2:17" x14ac:dyDescent="0.3">
      <c r="B82">
        <v>11</v>
      </c>
      <c r="C82" t="s">
        <v>6</v>
      </c>
      <c r="D82">
        <v>7687153941947008</v>
      </c>
      <c r="E82">
        <v>8515686647920033</v>
      </c>
      <c r="F82">
        <v>5451997183557848</v>
      </c>
      <c r="G82">
        <v>6014277713893426</v>
      </c>
      <c r="I82" s="12"/>
      <c r="L82" s="5"/>
      <c r="M82" s="6"/>
      <c r="N82"/>
      <c r="O82" s="5"/>
      <c r="Q82" s="6"/>
    </row>
    <row r="83" spans="2:17" x14ac:dyDescent="0.3">
      <c r="B83">
        <v>12</v>
      </c>
      <c r="C83" t="s">
        <v>10</v>
      </c>
      <c r="D83">
        <v>8459422298082608</v>
      </c>
      <c r="E83">
        <v>4.5564824563542784E+16</v>
      </c>
      <c r="F83">
        <v>2.2560047491142944E+16</v>
      </c>
      <c r="G83">
        <v>3.6794018706788304E+16</v>
      </c>
      <c r="I83" s="12"/>
      <c r="K83" t="s">
        <v>27</v>
      </c>
      <c r="L83" s="5">
        <f>SUM(F79:F87)</f>
        <v>1.3307910913755667E+17</v>
      </c>
      <c r="M83" s="6">
        <f>L83/SUM(Unirradiated_peak_parameters[Area])</f>
        <v>0.74416599302209785</v>
      </c>
      <c r="N83"/>
      <c r="O83" s="5"/>
      <c r="Q83" s="6"/>
    </row>
    <row r="84" spans="2:17" x14ac:dyDescent="0.3">
      <c r="B84">
        <v>13</v>
      </c>
      <c r="C84" t="s">
        <v>10</v>
      </c>
      <c r="D84">
        <v>9518427370259284</v>
      </c>
      <c r="E84">
        <v>240611250236553</v>
      </c>
      <c r="F84">
        <v>1890423682547233</v>
      </c>
      <c r="G84">
        <v>5805571617668013</v>
      </c>
      <c r="I84" s="12"/>
      <c r="L84" s="5"/>
      <c r="M84" s="6">
        <f>L83/I72</f>
        <v>0.48834475338738548</v>
      </c>
      <c r="N84"/>
      <c r="O84" s="5"/>
      <c r="Q84" s="6"/>
    </row>
    <row r="85" spans="2:17" x14ac:dyDescent="0.3">
      <c r="B85">
        <v>14</v>
      </c>
      <c r="C85" t="s">
        <v>10</v>
      </c>
      <c r="D85">
        <v>9357261393957788</v>
      </c>
      <c r="E85">
        <v>2526956818295964</v>
      </c>
      <c r="F85">
        <v>915885097243833</v>
      </c>
      <c r="G85">
        <v>2.6804403340855044E+16</v>
      </c>
      <c r="I85" s="12"/>
      <c r="L85" s="5"/>
      <c r="M85" s="6"/>
      <c r="N85"/>
      <c r="O85" s="5"/>
      <c r="Q85" s="6"/>
    </row>
    <row r="86" spans="2:17" x14ac:dyDescent="0.3">
      <c r="B86">
        <v>15</v>
      </c>
      <c r="C86" t="s">
        <v>6</v>
      </c>
      <c r="D86">
        <v>9167046875000028</v>
      </c>
      <c r="E86">
        <v>5512407594948876</v>
      </c>
      <c r="F86">
        <v>3.5206956188524344E+16</v>
      </c>
      <c r="G86">
        <v>5999518791560495</v>
      </c>
      <c r="I86" s="12"/>
      <c r="L86" s="5"/>
      <c r="M86" s="6"/>
      <c r="N86"/>
      <c r="O86" s="5"/>
      <c r="Q86" s="6"/>
    </row>
    <row r="87" spans="2:17" x14ac:dyDescent="0.3">
      <c r="B87">
        <v>16</v>
      </c>
      <c r="C87" t="s">
        <v>10</v>
      </c>
      <c r="D87">
        <v>8766452908212898</v>
      </c>
      <c r="E87">
        <v>4802876877112531</v>
      </c>
      <c r="F87">
        <v>2.8712840119604504E+16</v>
      </c>
      <c r="G87">
        <v>4440681185733924</v>
      </c>
      <c r="I87" s="12"/>
      <c r="L87" s="5"/>
      <c r="M87" s="6"/>
      <c r="N87"/>
      <c r="O87" s="5"/>
      <c r="Q87" s="6"/>
    </row>
    <row r="88" spans="2:17" x14ac:dyDescent="0.3">
      <c r="B88">
        <v>17</v>
      </c>
      <c r="C88" t="s">
        <v>6</v>
      </c>
      <c r="D88">
        <v>1090780488413764</v>
      </c>
      <c r="E88">
        <v>8414945094611339</v>
      </c>
      <c r="F88">
        <v>6098050996669418</v>
      </c>
      <c r="G88">
        <v>6807553033654183</v>
      </c>
      <c r="I88" s="12"/>
      <c r="L88" s="5"/>
      <c r="M88" s="6"/>
      <c r="N88"/>
      <c r="O88" s="5"/>
      <c r="Q88" s="6"/>
    </row>
    <row r="89" spans="2:17" x14ac:dyDescent="0.3">
      <c r="B89">
        <v>18</v>
      </c>
      <c r="C89" t="s">
        <v>6</v>
      </c>
      <c r="D89">
        <v>1.2466943480562776E+16</v>
      </c>
      <c r="E89">
        <v>2.162451936915376E+16</v>
      </c>
      <c r="F89">
        <v>1535694115161</v>
      </c>
      <c r="G89">
        <v>6671270857485848</v>
      </c>
      <c r="I89" s="12"/>
      <c r="L89" s="5"/>
      <c r="M89" s="6"/>
      <c r="N89"/>
      <c r="O89" s="5"/>
      <c r="Q89" s="6"/>
    </row>
    <row r="90" spans="2:17" x14ac:dyDescent="0.3">
      <c r="B90">
        <v>19</v>
      </c>
      <c r="C90" t="s">
        <v>7</v>
      </c>
      <c r="D90">
        <v>1.4149383906857386E+16</v>
      </c>
      <c r="E90">
        <v>9700413589255696</v>
      </c>
      <c r="F90">
        <v>2.9588234915879752E+16</v>
      </c>
      <c r="G90">
        <v>1.9417007612101672E+16</v>
      </c>
      <c r="I90" s="12"/>
      <c r="L90" s="5"/>
      <c r="M90" s="6"/>
      <c r="N90"/>
      <c r="O90" s="5"/>
      <c r="Q90" s="6"/>
    </row>
    <row r="91" spans="2:17" x14ac:dyDescent="0.3">
      <c r="I91" s="12"/>
      <c r="L91" s="5"/>
      <c r="M91" s="6"/>
      <c r="N91"/>
      <c r="O91" s="5"/>
      <c r="Q91" s="6"/>
    </row>
    <row r="92" spans="2:17" x14ac:dyDescent="0.3">
      <c r="I92" s="12"/>
      <c r="L92" s="5"/>
      <c r="M92" s="6"/>
      <c r="N92"/>
      <c r="O92" s="5"/>
      <c r="Q92" s="6"/>
    </row>
    <row r="93" spans="2:17" x14ac:dyDescent="0.3">
      <c r="B93" s="20" t="s">
        <v>17</v>
      </c>
      <c r="C93" s="21"/>
      <c r="D93" s="21"/>
      <c r="E93" s="21"/>
      <c r="F93" s="21"/>
      <c r="G93" s="22"/>
      <c r="I93" s="12"/>
      <c r="L93" s="5"/>
      <c r="M93" s="6"/>
      <c r="N93"/>
      <c r="O93" s="5"/>
      <c r="Q93" s="6"/>
    </row>
    <row r="94" spans="2:17" x14ac:dyDescent="0.3">
      <c r="B94" t="s">
        <v>0</v>
      </c>
      <c r="C94" t="s">
        <v>1</v>
      </c>
      <c r="D94" t="s">
        <v>2</v>
      </c>
      <c r="E94" t="s">
        <v>3</v>
      </c>
      <c r="F94" t="s">
        <v>4</v>
      </c>
      <c r="G94" t="s">
        <v>5</v>
      </c>
      <c r="I94" s="12"/>
      <c r="L94" s="5"/>
      <c r="M94" s="6"/>
      <c r="N94"/>
      <c r="O94" s="5"/>
      <c r="Q94" s="6"/>
    </row>
    <row r="95" spans="2:17" x14ac:dyDescent="0.3">
      <c r="B95">
        <v>1</v>
      </c>
      <c r="C95" t="s">
        <v>10</v>
      </c>
      <c r="D95">
        <v>2.129076510050756E+16</v>
      </c>
      <c r="E95">
        <v>3435563638255396</v>
      </c>
      <c r="F95">
        <v>1.4487630339216788E+16</v>
      </c>
      <c r="G95">
        <v>3.3833750716148664E+16</v>
      </c>
      <c r="I95" s="12"/>
      <c r="L95" s="5"/>
      <c r="M95" s="6"/>
      <c r="N95"/>
      <c r="O95" s="5"/>
      <c r="Q95" s="6"/>
    </row>
    <row r="96" spans="2:17" x14ac:dyDescent="0.3">
      <c r="B96">
        <v>2</v>
      </c>
      <c r="C96" t="s">
        <v>10</v>
      </c>
      <c r="D96">
        <v>2.6497285907866244E+16</v>
      </c>
      <c r="E96">
        <v>6139481476843696</v>
      </c>
      <c r="F96">
        <v>2878282330710408</v>
      </c>
      <c r="G96">
        <v>3.7001619344140264E+16</v>
      </c>
      <c r="I96" s="12"/>
      <c r="L96" s="5"/>
      <c r="M96" s="6"/>
      <c r="N96"/>
      <c r="O96" s="5"/>
      <c r="Q96" s="6"/>
    </row>
    <row r="97" spans="2:17" x14ac:dyDescent="0.3">
      <c r="B97">
        <v>3</v>
      </c>
      <c r="C97" t="s">
        <v>10</v>
      </c>
      <c r="D97">
        <v>4442120960543099</v>
      </c>
      <c r="E97">
        <v>1.3025675078629604E+16</v>
      </c>
      <c r="F97">
        <v>1.5621609372280436E+16</v>
      </c>
      <c r="G97">
        <v>8847661457035455</v>
      </c>
      <c r="I97" s="12">
        <f>SUM(_4_Si_750_2_5_peak_parameters12[Area])</f>
        <v>2.5072014841034275E+17</v>
      </c>
      <c r="J97" s="2">
        <f>I97/I7</f>
        <v>1.4020037361354403</v>
      </c>
      <c r="L97" s="5"/>
      <c r="M97" s="6"/>
      <c r="N97"/>
      <c r="O97" s="5"/>
      <c r="Q97" s="6"/>
    </row>
    <row r="98" spans="2:17" x14ac:dyDescent="0.3">
      <c r="B98">
        <v>4</v>
      </c>
      <c r="C98" t="s">
        <v>10</v>
      </c>
      <c r="D98">
        <v>5654567065835738</v>
      </c>
      <c r="E98">
        <v>45762525467768</v>
      </c>
      <c r="F98">
        <v>5449830109198679</v>
      </c>
      <c r="G98">
        <v>8883742392114915</v>
      </c>
      <c r="I98" s="12"/>
      <c r="L98" s="5"/>
      <c r="M98" s="6"/>
      <c r="N98"/>
      <c r="O98" s="5"/>
      <c r="Q98" s="6"/>
    </row>
    <row r="99" spans="2:17" x14ac:dyDescent="0.3">
      <c r="B99">
        <v>5</v>
      </c>
      <c r="C99" t="s">
        <v>10</v>
      </c>
      <c r="D99">
        <v>5280885108872991</v>
      </c>
      <c r="E99">
        <v>4474197709512329</v>
      </c>
      <c r="F99">
        <v>6696829796073283</v>
      </c>
      <c r="G99">
        <v>1.1165508320180228E+16</v>
      </c>
      <c r="I99" s="12"/>
      <c r="L99" s="5"/>
      <c r="M99" s="6"/>
      <c r="N99"/>
      <c r="O99" s="5"/>
      <c r="Q99" s="6"/>
    </row>
    <row r="100" spans="2:17" x14ac:dyDescent="0.3">
      <c r="B100">
        <v>6</v>
      </c>
      <c r="C100" t="s">
        <v>10</v>
      </c>
      <c r="D100">
        <v>6588826078319031</v>
      </c>
      <c r="E100">
        <v>8803657085959548</v>
      </c>
      <c r="F100">
        <v>2483348847882189</v>
      </c>
      <c r="G100">
        <v>207808834439591</v>
      </c>
      <c r="I100" s="12"/>
      <c r="L100" s="5"/>
      <c r="M100" s="6"/>
      <c r="N100"/>
      <c r="O100" s="5"/>
      <c r="Q100" s="6"/>
    </row>
    <row r="101" spans="2:17" x14ac:dyDescent="0.3">
      <c r="B101">
        <v>7</v>
      </c>
      <c r="C101" t="s">
        <v>10</v>
      </c>
      <c r="D101">
        <v>6672993747741382</v>
      </c>
      <c r="E101">
        <v>8968217852019986</v>
      </c>
      <c r="F101">
        <v>2775297595007302</v>
      </c>
      <c r="G101">
        <v>222706422820478</v>
      </c>
      <c r="I101" s="12"/>
      <c r="L101" s="5"/>
      <c r="M101" s="6"/>
      <c r="N101"/>
      <c r="O101" s="5"/>
      <c r="Q101" s="6"/>
    </row>
    <row r="102" spans="2:17" x14ac:dyDescent="0.3">
      <c r="B102" s="1">
        <v>8</v>
      </c>
      <c r="C102" s="1" t="s">
        <v>7</v>
      </c>
      <c r="D102" s="1">
        <v>7668650057794804</v>
      </c>
      <c r="E102" s="1">
        <v>5202310034504883</v>
      </c>
      <c r="F102" s="1">
        <v>1.8140349008380596E+16</v>
      </c>
      <c r="G102" s="1">
        <v>2.1746275780544776E+16</v>
      </c>
      <c r="I102" s="12"/>
      <c r="L102" s="5"/>
      <c r="M102" s="6"/>
      <c r="N102"/>
      <c r="O102" s="5"/>
      <c r="Q102" s="6"/>
    </row>
    <row r="103" spans="2:17" x14ac:dyDescent="0.3">
      <c r="B103" s="1">
        <v>9</v>
      </c>
      <c r="C103" s="1" t="s">
        <v>7</v>
      </c>
      <c r="D103" s="1">
        <v>7878584059177956</v>
      </c>
      <c r="E103" s="1">
        <v>6704815314990651</v>
      </c>
      <c r="F103" s="1">
        <v>2041282701959208</v>
      </c>
      <c r="G103" s="1">
        <v>1.8194449755807432E+16</v>
      </c>
      <c r="I103" s="12"/>
      <c r="L103" s="5"/>
      <c r="M103" s="6"/>
      <c r="N103"/>
      <c r="O103" s="5"/>
      <c r="Q103" s="6"/>
    </row>
    <row r="104" spans="2:17" x14ac:dyDescent="0.3">
      <c r="B104" s="1">
        <v>10</v>
      </c>
      <c r="C104" s="1" t="s">
        <v>7</v>
      </c>
      <c r="D104" s="1">
        <v>7974179158712246</v>
      </c>
      <c r="E104" s="1">
        <v>7499861725238793</v>
      </c>
      <c r="F104" s="1">
        <v>8716283258667873</v>
      </c>
      <c r="G104" s="1">
        <v>737136118004189</v>
      </c>
      <c r="I104" s="12"/>
      <c r="L104" s="5">
        <f>F102+F103+F105+_4_Si_750_2_5_peak_parameters12[[#This Row],[Area]]</f>
        <v>4.534710789369396E+16</v>
      </c>
      <c r="M104" s="6">
        <f>L104/L7</f>
        <v>1.0538237814451665</v>
      </c>
      <c r="N104"/>
      <c r="O104" s="5"/>
      <c r="Q104" s="6"/>
    </row>
    <row r="105" spans="2:17" x14ac:dyDescent="0.3">
      <c r="B105" s="1">
        <v>11</v>
      </c>
      <c r="C105" s="1" t="s">
        <v>6</v>
      </c>
      <c r="D105" s="1">
        <v>7718420598776513</v>
      </c>
      <c r="E105" s="1">
        <v>8128915039972189</v>
      </c>
      <c r="F105" s="1">
        <v>1.6449192924686284E+16</v>
      </c>
      <c r="G105" s="1">
        <v>1900499331799881</v>
      </c>
      <c r="I105" s="12"/>
      <c r="L105" s="5"/>
      <c r="M105" s="6"/>
      <c r="N105"/>
      <c r="O105" s="5"/>
      <c r="Q105" s="6"/>
    </row>
    <row r="106" spans="2:17" x14ac:dyDescent="0.3">
      <c r="B106">
        <v>12</v>
      </c>
      <c r="C106" t="s">
        <v>10</v>
      </c>
      <c r="D106">
        <v>8446977461539967</v>
      </c>
      <c r="E106">
        <v>4010006781506422</v>
      </c>
      <c r="F106">
        <v>3588344978277522</v>
      </c>
      <c r="G106">
        <v>6634638385182773</v>
      </c>
      <c r="I106" s="12"/>
      <c r="L106" s="5"/>
      <c r="M106" s="6"/>
      <c r="N106"/>
      <c r="O106" s="5"/>
      <c r="Q106" s="6"/>
    </row>
    <row r="107" spans="2:17" x14ac:dyDescent="0.3">
      <c r="B107">
        <v>13</v>
      </c>
      <c r="C107" t="s">
        <v>10</v>
      </c>
      <c r="D107">
        <v>9513446894158866</v>
      </c>
      <c r="E107">
        <v>1.5453723460784892E+16</v>
      </c>
      <c r="F107">
        <v>2.5458921870172136E+16</v>
      </c>
      <c r="G107">
        <v>1.2151687780054574E+16</v>
      </c>
      <c r="I107" s="12"/>
      <c r="L107" s="5"/>
      <c r="M107" s="6"/>
      <c r="N107"/>
      <c r="O107" s="5"/>
      <c r="Q107" s="6"/>
    </row>
    <row r="108" spans="2:17" x14ac:dyDescent="0.3">
      <c r="B108">
        <v>14</v>
      </c>
      <c r="C108" t="s">
        <v>10</v>
      </c>
      <c r="D108">
        <v>9391479458803602</v>
      </c>
      <c r="E108">
        <v>1.8248939501971832E+16</v>
      </c>
      <c r="F108">
        <v>3.2354882394047716E+16</v>
      </c>
      <c r="G108">
        <v>1.3090304805223636E+16</v>
      </c>
      <c r="I108" s="12"/>
      <c r="L108" s="5"/>
      <c r="M108" s="6"/>
      <c r="N108"/>
      <c r="O108" s="5"/>
      <c r="Q108" s="6"/>
    </row>
    <row r="109" spans="2:17" x14ac:dyDescent="0.3">
      <c r="B109">
        <v>15</v>
      </c>
      <c r="C109" t="s">
        <v>6</v>
      </c>
      <c r="D109">
        <v>8888427863837899</v>
      </c>
      <c r="E109">
        <v>7653931699122813</v>
      </c>
      <c r="F109">
        <v>1.5453737598823572E+16</v>
      </c>
      <c r="G109">
        <v>1.8963956251972612E+16</v>
      </c>
      <c r="I109" s="12"/>
      <c r="L109" s="5"/>
      <c r="M109" s="6"/>
      <c r="N109"/>
      <c r="O109" s="5"/>
      <c r="Q109" s="6"/>
    </row>
    <row r="110" spans="2:17" x14ac:dyDescent="0.3">
      <c r="B110">
        <v>16</v>
      </c>
      <c r="C110" t="s">
        <v>10</v>
      </c>
      <c r="D110">
        <v>9232391434739096</v>
      </c>
      <c r="E110">
        <v>2.5204164972057904E+16</v>
      </c>
      <c r="F110">
        <v>3086079225346566</v>
      </c>
      <c r="G110">
        <v>9053455303892856</v>
      </c>
      <c r="I110" s="12"/>
      <c r="L110" s="5"/>
      <c r="M110" s="6"/>
      <c r="N110"/>
      <c r="O110" s="5"/>
      <c r="Q110" s="6"/>
    </row>
    <row r="111" spans="2:17" x14ac:dyDescent="0.3">
      <c r="B111">
        <v>17</v>
      </c>
      <c r="C111" t="s">
        <v>11</v>
      </c>
      <c r="D111">
        <v>130937048189095</v>
      </c>
      <c r="E111">
        <v>562196339644563</v>
      </c>
      <c r="F111">
        <v>2.9490727808477496E+16</v>
      </c>
      <c r="G111">
        <v>3.3913770337360824E+16</v>
      </c>
      <c r="I111" s="12"/>
      <c r="L111" s="5"/>
      <c r="M111" s="6"/>
      <c r="N111"/>
      <c r="O111" s="5"/>
      <c r="Q111" s="6"/>
    </row>
    <row r="112" spans="2:17" x14ac:dyDescent="0.3">
      <c r="B112">
        <v>18</v>
      </c>
      <c r="C112" t="s">
        <v>6</v>
      </c>
      <c r="D112">
        <v>1091003260221376</v>
      </c>
      <c r="E112">
        <v>5.7136446235577072E+16</v>
      </c>
      <c r="F112">
        <v>5959071948535442</v>
      </c>
      <c r="G112">
        <v>9795762426508412</v>
      </c>
      <c r="I112" s="12"/>
      <c r="L112" s="5"/>
      <c r="M112" s="6"/>
      <c r="N112"/>
      <c r="O112" s="5"/>
      <c r="Q112" s="6"/>
    </row>
    <row r="113" spans="2:17" x14ac:dyDescent="0.3">
      <c r="B113">
        <v>19</v>
      </c>
      <c r="C113" t="s">
        <v>7</v>
      </c>
      <c r="D113">
        <v>1413851883675539</v>
      </c>
      <c r="E113">
        <v>7964225546939984</v>
      </c>
      <c r="F113">
        <v>3.9588446302599224E+16</v>
      </c>
      <c r="G113">
        <v>3163503111230656</v>
      </c>
      <c r="I113" s="13"/>
      <c r="L113" s="7"/>
      <c r="M113" s="8"/>
      <c r="N113"/>
      <c r="O113" s="7"/>
      <c r="P113" s="10"/>
      <c r="Q113" s="8"/>
    </row>
  </sheetData>
  <mergeCells count="7">
    <mergeCell ref="B93:G93"/>
    <mergeCell ref="U2:Z2"/>
    <mergeCell ref="B2:G2"/>
    <mergeCell ref="B33:G33"/>
    <mergeCell ref="B48:G48"/>
    <mergeCell ref="B14:G14"/>
    <mergeCell ref="B70:G70"/>
  </mergeCells>
  <pageMargins left="0.7" right="0.7" top="0.75" bottom="0.75" header="0.3" footer="0.3"/>
  <pageSetup paperSize="9"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52A8DA-5DC0-4F66-9ED0-71689809DA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Refel Final Raw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 Ruiz, Jaime</dc:creator>
  <cp:lastModifiedBy>Jaime Lopez</cp:lastModifiedBy>
  <dcterms:created xsi:type="dcterms:W3CDTF">2025-08-14T12:23:33Z</dcterms:created>
  <dcterms:modified xsi:type="dcterms:W3CDTF">2026-04-02T18:30:31Z</dcterms:modified>
</cp:coreProperties>
</file>